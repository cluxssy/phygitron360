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cluxssy/Code/phygitron360/docs/"/>
    </mc:Choice>
  </mc:AlternateContent>
  <xr:revisionPtr revIDLastSave="0" documentId="13_ncr:1_{0EC0CD6C-C62E-F042-9386-7967AD3B4FF6}" xr6:coauthVersionLast="47" xr6:coauthVersionMax="47" xr10:uidLastSave="{00000000-0000-0000-0000-000000000000}"/>
  <bookViews>
    <workbookView xWindow="0" yWindow="760" windowWidth="34200" windowHeight="19600" activeTab="1" xr2:uid="{00000000-000D-0000-FFFF-FFFF00000000}"/>
  </bookViews>
  <sheets>
    <sheet name="Project Plan (2)" sheetId="5" r:id="rId1"/>
    <sheet name="Features" sheetId="2" r:id="rId2"/>
    <sheet name="Summary" sheetId="3" r:id="rId3"/>
    <sheet name="Employee Central Integration" sheetId="4" r:id="rId4"/>
  </sheets>
  <definedNames>
    <definedName name="_xlnm._FilterDatabase" localSheetId="1" hidden="1">Features!$A$4:$I$119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E15" i="3"/>
  <c r="D15" i="3"/>
  <c r="C15" i="3"/>
  <c r="B15" i="3"/>
  <c r="G15" i="3" s="1"/>
  <c r="F14" i="3"/>
  <c r="E14" i="3"/>
  <c r="D14" i="3"/>
  <c r="C14" i="3"/>
  <c r="B14" i="3"/>
  <c r="G14" i="3" s="1"/>
  <c r="F13" i="3"/>
  <c r="E13" i="3"/>
  <c r="D13" i="3"/>
  <c r="C13" i="3"/>
  <c r="B13" i="3"/>
  <c r="G13" i="3" s="1"/>
  <c r="F12" i="3"/>
  <c r="E12" i="3"/>
  <c r="D12" i="3"/>
  <c r="C12" i="3"/>
  <c r="B12" i="3"/>
  <c r="G12" i="3" s="1"/>
  <c r="F11" i="3"/>
  <c r="E11" i="3"/>
  <c r="D11" i="3"/>
  <c r="C11" i="3"/>
  <c r="B11" i="3"/>
  <c r="G11" i="3" s="1"/>
  <c r="F10" i="3"/>
  <c r="E10" i="3"/>
  <c r="D10" i="3"/>
  <c r="C10" i="3"/>
  <c r="B10" i="3"/>
  <c r="G10" i="3" s="1"/>
  <c r="F9" i="3"/>
  <c r="E9" i="3"/>
  <c r="D9" i="3"/>
  <c r="C9" i="3"/>
  <c r="B9" i="3"/>
  <c r="G9" i="3" s="1"/>
  <c r="F8" i="3"/>
  <c r="E8" i="3"/>
  <c r="D8" i="3"/>
  <c r="C8" i="3"/>
  <c r="B8" i="3"/>
  <c r="G8" i="3" s="1"/>
  <c r="G7" i="3"/>
  <c r="F7" i="3"/>
  <c r="E7" i="3"/>
  <c r="D7" i="3"/>
  <c r="C7" i="3"/>
  <c r="B7" i="3"/>
  <c r="F6" i="3"/>
  <c r="E6" i="3"/>
  <c r="D6" i="3"/>
  <c r="C6" i="3"/>
  <c r="B6" i="3"/>
  <c r="G6" i="3" s="1"/>
  <c r="F5" i="3"/>
  <c r="F16" i="3" s="1"/>
  <c r="E5" i="3"/>
  <c r="E16" i="3" s="1"/>
  <c r="D5" i="3"/>
  <c r="D16" i="3" s="1"/>
  <c r="C5" i="3"/>
  <c r="C16" i="3" s="1"/>
  <c r="B5" i="3"/>
  <c r="B16" i="3" l="1"/>
  <c r="G16" i="3" s="1"/>
  <c r="G5" i="3"/>
</calcChain>
</file>

<file path=xl/sharedStrings.xml><?xml version="1.0" encoding="utf-8"?>
<sst xmlns="http://schemas.openxmlformats.org/spreadsheetml/2006/main" count="1237" uniqueCount="742">
  <si>
    <t>EMPLOYEE CENTRAL (HRMS) &amp; LEARNING CENTRAL INTEGRATION MAP</t>
  </si>
  <si>
    <t>Technical data flow and touchpoints connecting Employee Central (Deploy) with Learning Central (Forge).</t>
  </si>
  <si>
    <t>HRMS Touchpoint / Screen</t>
  </si>
  <si>
    <t>Employee Central Data Entity</t>
  </si>
  <si>
    <t>Learning Central (Forge) Action</t>
  </si>
  <si>
    <t>Business Value &amp; User Flow</t>
  </si>
  <si>
    <t>Employee Profile (/deploy/employees/:code)</t>
  </si>
  <si>
    <t>employees table (employee_code, name, department, designation, email, manager_id)</t>
  </si>
  <si>
    <t>Renders new 'Training &amp; Certifications' tab listing active, completed, and overdue courses with progress % and certificate download links.</t>
  </si>
  <si>
    <t>HR and managers can inspect an employee's continuous learning history directly alongside attendance and salary records.</t>
  </si>
  <si>
    <t>New Hire Onboarding Pipeline</t>
  </si>
  <si>
    <t>Employee creation event (POST /api/employees)</t>
  </si>
  <si>
    <t>Automated rule assigns mandatory compliance curriculum (POSH, InfoSec, Workplace Safety) with 14-day due date.</t>
  </si>
  <si>
    <t>Zero-touch onboarding: new hires log in on Day 1 to find their mandatory onboarding training ready.</t>
  </si>
  <si>
    <t>Manager Team View (/deploy/team)</t>
  </si>
  <si>
    <t>reporting_manager_id relationship in employees table</t>
  </si>
  <si>
    <t>Filters direct reports and renders team compliance cards, overdue alerts, and one-click 'Nudge' reminder buttons.</t>
  </si>
  <si>
    <t>Empowers team leads and managers to enforce 100% compliance without having to ask HR for manual spreadsheets.</t>
  </si>
  <si>
    <t>Department &amp; Role Catalog Filtering</t>
  </si>
  <si>
    <t>departments and designations master tables in Employee Central</t>
  </si>
  <si>
    <t>Populates dropdown filters in Course Catalogue and Assign Training modal directly from live HRMS organizational structure.</t>
  </si>
  <si>
    <t>Ensures course assignments always target active departments and real job roles without duplicate data entry.</t>
  </si>
  <si>
    <t>Skills Matrix &amp; Competency Profile</t>
  </si>
  <si>
    <t>employee_skills table (employee_code, skill_id, proficiency_level, verified_badge)</t>
  </si>
  <si>
    <t>When an employee completes a course with passing score, linked skill tags automatically update to verified status in employee profile.</t>
  </si>
  <si>
    <t>Eliminates manual skill updating and provides real-time talent capability data for project staffing.</t>
  </si>
  <si>
    <t>Annual Performance Review (Appraisals)</t>
  </si>
  <si>
    <t>performance_reviews table in Deploy module</t>
  </si>
  <si>
    <t>Embeds total training hours, courses completed, and average assessment scores during the appraisal cycle.</t>
  </si>
  <si>
    <t>Allows managers to quantitatively factor employee learning dedication and upskilling into annual merit raises.</t>
  </si>
  <si>
    <t>Employee Resignation &amp; Exit Clearance</t>
  </si>
  <si>
    <t>employee_exit_clearance table in Deploy module</t>
  </si>
  <si>
    <t>Adds mandatory checklist item verifying all statutory compliance courses were completed prior to generating relieving letter.</t>
  </si>
  <si>
    <t>Guarantees corporate legal defensibility in case of future regulatory or labor disputes.</t>
  </si>
  <si>
    <t>Employee Document Vault</t>
  </si>
  <si>
    <t>employee_documents table in Deploy module</t>
  </si>
  <si>
    <t>Automatically archives a copy of every earned certificate PDF directly into the employee's HR document repository.</t>
  </si>
  <si>
    <t>Centralizes all employee credentials in one compliant, searchable archive.</t>
  </si>
  <si>
    <t>PROJECT PLAN — MANAGEMENT &amp; PERSONAL WORKSTREAMS</t>
  </si>
  <si>
    <t>Pillar / Scope</t>
  </si>
  <si>
    <t>Module / Section</t>
  </si>
  <si>
    <t>Feature / Sub-Tab / Item</t>
  </si>
  <si>
    <t>Frontend Effort (Days)</t>
  </si>
  <si>
    <t>Backend Effort (Days)</t>
  </si>
  <si>
    <t>Total Working Days</t>
  </si>
  <si>
    <t>PART 1: MANAGEMENT WORKSTREAM &amp; ALL FEATURES</t>
  </si>
  <si>
    <t>Management</t>
  </si>
  <si>
    <t>Dashboard</t>
  </si>
  <si>
    <t>Admin Overview KPI Cards (Active Modules, Enrolled, Certifications, Completion Rate %)</t>
  </si>
  <si>
    <t>Active Assignments Master Table (Search, Status Tabs, Department Filter)</t>
  </si>
  <si>
    <t>Manager Team Dashboard (Direct Reports Roster, Team Completion %, Overdue Alerts)</t>
  </si>
  <si>
    <t>One-Click 'Nudge / Remind' Action Button for Overdue Direct Reports</t>
  </si>
  <si>
    <t>Course Catalogue</t>
  </si>
  <si>
    <t>Upload Courses (SCORM 1.2 / 2004 ZIP Dropzone, Video, PDF, Manifest Auto-Inspector)</t>
  </si>
  <si>
    <t>Course Management (One-Click Publish Toggle, Edit Metadata, Delete with File Cleanup)</t>
  </si>
  <si>
    <t>Course Details &amp; Syllabus Slide-Over Drawer (Admin View)</t>
  </si>
  <si>
    <t>Course Enrolled Learners Roster Drawer (Filter by Status, Scores)</t>
  </si>
  <si>
    <t>Course Assignment</t>
  </si>
  <si>
    <t>Assign Course Modal (Individual, Department, Designation)</t>
  </si>
  <si>
    <t>Searchable Employee Multi-Select Picker (Live from Employee Central)</t>
  </si>
  <si>
    <t>Preset Due Dates Configuration (7d, 14d, 30d, Custom Date Picker)</t>
  </si>
  <si>
    <t>Mandatory Compliance vs Elective Flag &amp; Notification Dispatch</t>
  </si>
  <si>
    <t>Users Management</t>
  </si>
  <si>
    <t>Existing one from Employee Central (Live sync with employees, departments, designations)</t>
  </si>
  <si>
    <t>Add External Employee (Modal: Name, Email, Phone, Vendor/Company, Contractor ID, Validity)</t>
  </si>
  <si>
    <t>Add External Candidate (Pre-boarding / Candidate Training link from Source/ATS)</t>
  </si>
  <si>
    <t>External User Invite &amp; One-Click Magic Link Credential Dispatch</t>
  </si>
  <si>
    <t>Audience Segmentation &amp; Batch Assignments (Internal Departments vs External Cohorts)</t>
  </si>
  <si>
    <t>Employee Central Sync</t>
  </si>
  <si>
    <t>New Hire Onboarding Auto-Assignment Rule (Automatic enrollment on employee creation)</t>
  </si>
  <si>
    <t>Skill Matrix Auto-Update on Course Completion (Levels up skill in HR profile)</t>
  </si>
  <si>
    <t>Exit Clearance Compliance Verification (Checks mandatory training before relieving)</t>
  </si>
  <si>
    <t>Assessments &amp; Certificates</t>
  </si>
  <si>
    <t>Attach Assessment to Course Module (Verify Hub Question Bank Link)</t>
  </si>
  <si>
    <t>Passing Score % &amp; Max Retake Attempts Configuration</t>
  </si>
  <si>
    <t>Automated PDF Certificate Generator Engine (Serial ID, QR Code Generation)</t>
  </si>
  <si>
    <t>Public Certificate Verification Page Setup (/verify-certificate/:certId)</t>
  </si>
  <si>
    <t>Reports &amp; Export</t>
  </si>
  <si>
    <t>Report Configurator (Course Completion, Department Compliance, Overdue Roster)</t>
  </si>
  <si>
    <t>One-Click Export to Excel (.xlsx) and CSV for Statutory Compliance Audits</t>
  </si>
  <si>
    <t>PART 2: PERSONAL WORKSTREAM &amp; ALL FEATURES</t>
  </si>
  <si>
    <t>Personal</t>
  </si>
  <si>
    <t>Personal Dashboard</t>
  </si>
  <si>
    <t>Learner Dashboard Summary Cards (Enrolled, In Progress, Completed, Average Score)</t>
  </si>
  <si>
    <t>'Continue Learning' Smart Action Card (Instant resume from exact saved bookmark)</t>
  </si>
  <si>
    <t>Learning Streak Flame Counter &amp; Daily Milestone Tracker</t>
  </si>
  <si>
    <t>Active Tasks Roster &amp; Due Date Countdown Pills ('Due in 2 days', 'Overdue')</t>
  </si>
  <si>
    <t>Personal Catalogue</t>
  </si>
  <si>
    <t>Browse Course Catalogue Grid (Live Search, Format Tabs, Department &amp; Tag Filters)</t>
  </si>
  <si>
    <t>Course Preview &amp; Syllabus Details Slide-Over Drawer</t>
  </si>
  <si>
    <t>Self-Enroll in Elective Courses Action Button</t>
  </si>
  <si>
    <t>Course Player</t>
  </si>
  <si>
    <t>Universal SCORM 1.2 &amp; 2004 Runtime Player (Dual window.API Bridge, CMI Auto-Sync)</t>
  </si>
  <si>
    <t>Native Video Player (Speed 0.75x–2x, Resume Timestamp) &amp; In-Browser PDF Reader</t>
  </si>
  <si>
    <t>Player Top Bar (Course Breadcrumbs, Status Pill, Fullscreen Toggle, Exit Safeguard)</t>
  </si>
  <si>
    <t>Collapsible Outline Sidebar &amp; Completion Celebration Trigger</t>
  </si>
  <si>
    <t>Personal Profile Tabs</t>
  </si>
  <si>
    <t>Employee Profile — 'Training &amp; Learning' Dedicated Tab (/deploy/employees/:code)</t>
  </si>
  <si>
    <t>Active &amp; Overdue Training Table with Live Progress % &amp; Deadlines</t>
  </si>
  <si>
    <t>Completed Training History Ledger with Final Scores &amp; Certificate Links</t>
  </si>
  <si>
    <t>Direct '+ Assign Training' Action Button from Employee Profile</t>
  </si>
  <si>
    <t>Personal Assessments</t>
  </si>
  <si>
    <t>Timed Quiz Taking Interface (Countdown Clock, MCQ, Multi-Select, Auto-Submit)</t>
  </si>
  <si>
    <t>Diagnostic Scorecard Modal (Pass/Fail Banner, Review Answers, Retake Action)</t>
  </si>
  <si>
    <t>Personal Certificates</t>
  </si>
  <si>
    <t>In-Browser Certificate Viewer Modal Preview</t>
  </si>
  <si>
    <t>Download High-Resolution PDF Certificate &amp; Print Buttons</t>
  </si>
  <si>
    <t>Add to LinkedIn Profile 1-Click Share Button</t>
  </si>
  <si>
    <t>External Employee View</t>
  </si>
  <si>
    <t>Dedicated External Learner Shell (Branded view hiding internal HRMS tabs)</t>
  </si>
  <si>
    <t>Curated External Course Catalogue (Only authorized vendor/contractor courses)</t>
  </si>
  <si>
    <t>Contractor 'My Learning' Portal (Assignments, Progress Bars, Due Dates)</t>
  </si>
  <si>
    <t>External Player &amp; Assessment Execution (Verified progress commit &amp; scoring)</t>
  </si>
  <si>
    <t>External Certificate View &amp; PDF Download (With partner company attribution)</t>
  </si>
  <si>
    <t>External Candidate View</t>
  </si>
  <si>
    <t>Candidate Pre-Boarding Portal Shell (Source module link before Day 1)</t>
  </si>
  <si>
    <t>Assigned Pre-Joining Modules (Company Intro, Policy, Welcome Pack, Tech Prep)</t>
  </si>
  <si>
    <t>Candidate Completion Status Sync (Alerts HR recruiter when pre-boarding is done)</t>
  </si>
  <si>
    <t>—</t>
  </si>
  <si>
    <t>TOTAL WORKING DAYS</t>
  </si>
  <si>
    <t>Complete End-to-End Scope (Management + Personal)</t>
  </si>
  <si>
    <t>LEARNING CENTRAL (FORGE) — PRACTICAL UI/UX &amp; EMPLOYEE CENTRAL FEATURE MATRIX</t>
  </si>
  <si>
    <t>Actionable, screen-by-screen feature blueprint focusing on user flows, buttons, filters, catalog UI, and deep Employee Central (HRMS) integration.</t>
  </si>
  <si>
    <t>#</t>
  </si>
  <si>
    <t>Page / Screen</t>
  </si>
  <si>
    <t>UI Section / Component</t>
  </si>
  <si>
    <t>Feature Name</t>
  </si>
  <si>
    <t>Buttons, Filters &amp; Controls</t>
  </si>
  <si>
    <t>Functional Flow &amp; Logic</t>
  </si>
  <si>
    <t>Employee Central &amp; Platform Integration</t>
  </si>
  <si>
    <t>Priority</t>
  </si>
  <si>
    <t>Status</t>
  </si>
  <si>
    <t>Top Filter &amp; Search Bar</t>
  </si>
  <si>
    <t>Instant Live Search Input</t>
  </si>
  <si>
    <t>Search text input with clear 'X' button and magnifying glass icon</t>
  </si>
  <si>
    <t>As user types, course cards filter in real-time matching course title, description, or tags without full page reload.</t>
  </si>
  <si>
    <t>Matches course tags tied to Employee Central skill taxonomy.</t>
  </si>
  <si>
    <t>P1</t>
  </si>
  <si>
    <t>Completed</t>
  </si>
  <si>
    <t>Course Format Filter Tabs</t>
  </si>
  <si>
    <t>Pill buttons: 'All Formats', 'SCORM Package', 'Video', 'Document/PDF', 'External Link'</t>
  </si>
  <si>
    <t>Clicking a format tab instantly filters the catalog grid to show only matching delivery types.</t>
  </si>
  <si>
    <t>Allows employees to find quick micro-videos vs formal SCORM training.</t>
  </si>
  <si>
    <t>Department Filter Dropdown</t>
  </si>
  <si>
    <t>Dropdown select populated dynamically with company departments (Tech, HR, Sales, Ops, Finance)</t>
  </si>
  <si>
    <t>Selecting a department shows courses tagged for or recommended to that specific business unit.</t>
  </si>
  <si>
    <t>Directly queries Employee Central 'departments' list from HRMS database.</t>
  </si>
  <si>
    <t>In Progress</t>
  </si>
  <si>
    <t>Difficulty Level Filter</t>
  </si>
  <si>
    <t>Dropdown select: 'All Levels', 'Beginner', 'Intermediate', 'Advanced'</t>
  </si>
  <si>
    <t>Filters the catalog grid by course difficulty level badge.</t>
  </si>
  <si>
    <t>Helps employees filter upskilling courses matching their current role tenure.</t>
  </si>
  <si>
    <t>P2</t>
  </si>
  <si>
    <t>Estimated Duration Filter</t>
  </si>
  <si>
    <t>Dropdown / pill filter: '&lt; 15 mins', '15-30 mins', '30-60 mins', '1+ hours'</t>
  </si>
  <si>
    <t>Filters courses by estimated completion time stored in duration_minutes.</t>
  </si>
  <si>
    <t>Enables quick micro-learning searches during work breaks.</t>
  </si>
  <si>
    <t>Category &amp; Skill Tag Chips</t>
  </si>
  <si>
    <t>Horizontal scrollable row of tag chips (e.g. 'Cybersecurity', 'POSH', 'React', 'Leadership')</t>
  </si>
  <si>
    <t>Clicking tag chip toggles multi-select filter; active tags highlight with purple pill styling.</t>
  </si>
  <si>
    <t>Tags map directly to Employee Central skills matrix.</t>
  </si>
  <si>
    <t>Publish Status Filter (Admin View)</t>
  </si>
  <si>
    <t>Segmented toggle buttons: 'All', 'Published', 'Draft / Unpublished'</t>
  </si>
  <si>
    <t>Visible only to L&amp;D Admins and HR Managers; lets administrators audit unpublished or draft courses.</t>
  </si>
  <si>
    <t>Restricted via forge.courses.manage permission gate.</t>
  </si>
  <si>
    <t>Catalog View Controls</t>
  </si>
  <si>
    <t>Grid vs List Layout Switcher</t>
  </si>
  <si>
    <t>Two toggle icons: 3x3 Grid Icon and List View Icon</t>
  </si>
  <si>
    <t>Switches catalog layout between visual card grid and a compact table view with sorting.</t>
  </si>
  <si>
    <t>Remembers user view preference in browser localStorage.</t>
  </si>
  <si>
    <t>Planned</t>
  </si>
  <si>
    <t>Course Card Component</t>
  </si>
  <si>
    <t>Course Thumbnail &amp; Format Badge</t>
  </si>
  <si>
    <t>Visual image container with fallback branded gradient + top-left Format Badge ('SCORM', 'VIDEO', 'DOC')</t>
  </si>
  <si>
    <t>Renders course thumbnail preview; shows clear visual badge of course delivery medium.</t>
  </si>
  <si>
    <t>Supports company brand asset library thumbnails.</t>
  </si>
  <si>
    <t>SCORM Edition Badge</t>
  </si>
  <si>
    <t>Purple pill badge: 'SCORM 1.2' or 'SCORM 2004'</t>
  </si>
  <si>
    <t>Displays automatically when course type is SCORM, indicating verified engine compatibility.</t>
  </si>
  <si>
    <t>Parsed automatically by ScormService during ZIP upload.</t>
  </si>
  <si>
    <t>Mandatory vs Elective Pill</t>
  </si>
  <si>
    <t>Red outline pill: 'Mandatory Compliance' / Blue outline pill: 'Elective Upskilling'</t>
  </si>
  <si>
    <t>Immediately alerts learners if course is a compulsory company-wide requirement.</t>
  </si>
  <si>
    <t>Tied to Employee Central compliance tracking rules.</t>
  </si>
  <si>
    <t>Course Metadata Info Bar</t>
  </si>
  <si>
    <t>Clock icon with duration (e.g. '45m'), user icon with enrolled count (e.g. '128 enrolled')</t>
  </si>
  <si>
    <t>Shows quick glanceable metrics before user clicks to explore details.</t>
  </si>
  <si>
    <t>Live count of total enrollments in the tenant schema.</t>
  </si>
  <si>
    <t>Action Button: 'Start / Continue Learning'</t>
  </si>
  <si>
    <t>Primary action button on card: changes to 'Continue' with progress % if already enrolled, or 'Start' if assigned</t>
  </si>
  <si>
    <t>Clicking launches player (/forge/play/:id) directly at the user's saved location.</t>
  </si>
  <si>
    <t>Checks forge_enrollments table for logged-in employee code.</t>
  </si>
  <si>
    <t>Action Button: 'Self-Enroll'</t>
  </si>
  <si>
    <t>Secondary button on elective courses: 'Enroll in Course'</t>
  </si>
  <si>
    <t>Creates enrollment record with status='assigned' and immediately refreshes card state.</t>
  </si>
  <si>
    <t>Records employee_code and logs enrollment in Employee Central learning record.</t>
  </si>
  <si>
    <t>Admin Quick Action Menu</t>
  </si>
  <si>
    <t>Three-dots dropdown menu: 'Edit Metadata', 'Assign to Team', 'Toggle Publish', 'Delete Course'</t>
  </si>
  <si>
    <t>Allows L&amp;D admins to manage courses directly from the catalog view without digging through settings.</t>
  </si>
  <si>
    <t>Protected by forge.courses.manage permission.</t>
  </si>
  <si>
    <t>Course Detail Drawer</t>
  </si>
  <si>
    <t>Slide-Over Course Details Drawer</t>
  </si>
  <si>
    <t>Slide-over right drawer showing full syllabus, learning objectives, prerequisites, and target skills</t>
  </si>
  <si>
    <t>Opens when clicking course title or card body; lets learner preview curriculum before starting.</t>
  </si>
  <si>
    <t>Displays target skills that will be credited to employee's profile upon completion.</t>
  </si>
  <si>
    <t>Header Action Bar</t>
  </si>
  <si>
    <t>Primary Action Button: 'New Course / Upload'</t>
  </si>
  <si>
    <t>Prominent purple button with '+' icon: 'New Course'</t>
  </si>
  <si>
    <t>Opens the CourseUploadModal for SCORM ZIP upload or URL creation. Visible to Admins/Trainers.</t>
  </si>
  <si>
    <t>Restricted to L&amp;D Admin and HR Manager roles.</t>
  </si>
  <si>
    <t>Catalog Empty State</t>
  </si>
  <si>
    <t>Empty State Illustration &amp; Clear Filters Button</t>
  </si>
  <si>
    <t>Clean graphic with 'No courses found' heading and 'Reset All Filters' button</t>
  </si>
  <si>
    <t>Provides clear fallback when search query or filter combination returns zero results.</t>
  </si>
  <si>
    <t>Guides user back to default catalog view with one click.</t>
  </si>
  <si>
    <t>My Learning Portal</t>
  </si>
  <si>
    <t>Header Metric Cards</t>
  </si>
  <si>
    <t>Learner KPI Summary Banner</t>
  </si>
  <si>
    <t>4 stat cards: 'Courses Enrolled', 'In Progress', 'Completed', 'Average Score %'</t>
  </si>
  <si>
    <t>Gives employee an immediate snapshot of their personal learning velocity and compliance status.</t>
  </si>
  <si>
    <t>Calculated live from forge_enrollments for the authenticated employee.</t>
  </si>
  <si>
    <t>Filter Tabs</t>
  </si>
  <si>
    <t>Status Navigation Tabs</t>
  </si>
  <si>
    <t>Tab bar with badge counters: 'All (6)', 'In Progress (2)', 'Completed (3)', 'Overdue (1)'</t>
  </si>
  <si>
    <t>Clicking tabs filters the enrolled courses list; counters update in real-time.</t>
  </si>
  <si>
    <t>Overdue tab highlights urgent compliance tasks requiring immediate action.</t>
  </si>
  <si>
    <t>Search &amp; Sort Bar</t>
  </si>
  <si>
    <t>Search My Courses &amp; Sort Selector</t>
  </si>
  <si>
    <t>Search input + Sort dropdown ('Due Date: Soonest', 'Recently Accessed', 'Progress: High to Low')</t>
  </si>
  <si>
    <t>Allows learners with multiple assignments to quickly locate a specific course.</t>
  </si>
  <si>
    <t>Helps prioritize urgent mandatory courses approaching deadline.</t>
  </si>
  <si>
    <t>Enrolled Course Card</t>
  </si>
  <si>
    <t>Visual Progress Bar &amp; Percentage</t>
  </si>
  <si>
    <t>Horizontal purple progress bar + percentage text (e.g. '68% Completed')</t>
  </si>
  <si>
    <t>Displays real-time progress through SCORM package or video chapters.</t>
  </si>
  <si>
    <t>Updated automatically on every SCORM commit event.</t>
  </si>
  <si>
    <t>Dynamic Status Badge</t>
  </si>
  <si>
    <t>Color-coded pill: Yellow 'Assigned', Blue 'In Progress', Green 'Completed', Red 'Overdue'</t>
  </si>
  <si>
    <t>Clear visual indicator of current lifecycle status for each assigned course.</t>
  </si>
  <si>
    <t>Status auto-transitions based on started_at, completed_at, and due_date.</t>
  </si>
  <si>
    <t>Due Date Pill with Smart Countdown</t>
  </si>
  <si>
    <t>Calendar icon with badge: 'Due in 3 days' (amber), 'Overdue by 2 days' (red), 'No Deadline' (gray)</t>
  </si>
  <si>
    <t>Calculates relative days remaining until due date, turning red when overdue.</t>
  </si>
  <si>
    <t>Synced with assignment due_date set by manager or onboarding workflow.</t>
  </si>
  <si>
    <t>Score &amp; Grade Display Badge</t>
  </si>
  <si>
    <t>Trophy icon with score badge (e.g. 'Score: 92% — Passed')</t>
  </si>
  <si>
    <t>Renders final assessment score recorded from SCORM CMI data or Verify quiz engine.</t>
  </si>
  <si>
    <t>Only appears once course has an evaluated score.</t>
  </si>
  <si>
    <t>Smart Action Button: 'Start Course'</t>
  </si>
  <si>
    <t>Primary action button: 'Start Course' with play icon</t>
  </si>
  <si>
    <t>Displayed when enrollment status is 'assigned' (0% progress); launches player at module 1.</t>
  </si>
  <si>
    <t>Sets started_at timestamp and transitions status to 'in_progress'.</t>
  </si>
  <si>
    <t>Smart Action Button: 'Continue Learning'</t>
  </si>
  <si>
    <t>Primary action button: 'Continue Learning' with arrow icon</t>
  </si>
  <si>
    <t>Displayed when course is 'in_progress'; launches player and restores exact SCORM suspend location.</t>
  </si>
  <si>
    <t>Pulls suspend_data and cmi.core.lesson_location from database.</t>
  </si>
  <si>
    <t>Action Button: 'Download Certificate'</t>
  </si>
  <si>
    <t>Green outline button: 'Download Certificate' with certificate icon</t>
  </si>
  <si>
    <t>Appears only on completed courses; opens/downloads verified PDF certificate.</t>
  </si>
  <si>
    <t>Validates that status is 'completed' before enabling download.</t>
  </si>
  <si>
    <t>Secondary Action: 'Review Material'</t>
  </si>
  <si>
    <t>Secondary button: 'Review Course' with eye icon</t>
  </si>
  <si>
    <t>Allows learner to revisit completed courses without overwriting their passed score.</t>
  </si>
  <si>
    <t>Launches player in review mode.</t>
  </si>
  <si>
    <t>Empty State</t>
  </si>
  <si>
    <t>Empty Learning State &amp; Explore CTA</t>
  </si>
  <si>
    <t>Friendly graphic: 'You have no courses in progress' + 'Explore Course Catalogue' button</t>
  </si>
  <si>
    <t>Guides learners to the catalog tab when they have zero active courses.</t>
  </si>
  <si>
    <t>Switches Forge active tab to 'courses' on click.</t>
  </si>
  <si>
    <t>Top Navigation Bar</t>
  </si>
  <si>
    <t>Exit &amp; Back Navigation Button</t>
  </si>
  <si>
    <t>Left chevron button: 'Back to Learning Central'</t>
  </si>
  <si>
    <t>Prompts SCORM LMSCommit to ensure latest progress is saved, then navigates back to /forge.</t>
  </si>
  <si>
    <t>Guarantees no progress data loss on sudden browser exit.</t>
  </si>
  <si>
    <t>Course &amp; Module Title Breadcrumbs</t>
  </si>
  <si>
    <t>Header text displaying 'Course Title &gt; Current Chapter Title'</t>
  </si>
  <si>
    <t>Keeps learner oriented inside multi-chapter or multi-SCO packages.</t>
  </si>
  <si>
    <t>Updates dynamically as learner advances through modules.</t>
  </si>
  <si>
    <t>Live Progress &amp; Status Pill</t>
  </si>
  <si>
    <t>Badge showing 'Status: In Progress' and live score counter if evaluated</t>
  </si>
  <si>
    <t>Gives continuous feedback on whether the module has met completion requirements.</t>
  </si>
  <si>
    <t>Listens to SCORM API bridge state updates in real time.</t>
  </si>
  <si>
    <t>Fullscreen Mode Toggle Button</t>
  </si>
  <si>
    <t>Maximize/Minimize icon button: 'Toggle Fullscreen'</t>
  </si>
  <si>
    <t>Expands player to true distraction-free fullscreen using browser Fullscreen API.</t>
  </si>
  <si>
    <t>Maximizes screen real estate for complex interactive simulations.</t>
  </si>
  <si>
    <t>Player Core Container</t>
  </si>
  <si>
    <t>Universal SCORM 1.2 Runtime Container</t>
  </si>
  <si>
    <t>Seamless iframe container with injected window.API bridge</t>
  </si>
  <si>
    <t>Handles LMSInitialize, LMSGetValue, LMSSetValue, LMSCommit, and LMSFinish with zero cross-origin errors.</t>
  </si>
  <si>
    <t>Auto-syncs CMI data to /api/forge/progress/scorm-commit endpoint.</t>
  </si>
  <si>
    <t>Universal SCORM 2004 Runtime Container</t>
  </si>
  <si>
    <t>Seamless iframe container with injected window.API_1484_11 bridge</t>
  </si>
  <si>
    <t>Handles SCORM 2004 Initialize, GetValue, SetValue, Commit, Terminate, tracking completion_status &amp; success_status.</t>
  </si>
  <si>
    <t>Auto-maps passed/completed status to forge_enrollments table.</t>
  </si>
  <si>
    <t>Native Video Player Controls</t>
  </si>
  <si>
    <t>Play/Pause, scrub timeline, playback speed (0.75x-2x), volume slider, time counter</t>
  </si>
  <si>
    <t>Built-in HTML5 player for MP4 video courses with bookmarking of last played second.</t>
  </si>
  <si>
    <t>Stores playback timestamp in cmi_data for resume playback.</t>
  </si>
  <si>
    <t>PDF Document Reader Controls</t>
  </si>
  <si>
    <t>Page navigation arrows, zoom in/out buttons, page jump input, download toggle</t>
  </si>
  <si>
    <t>Zero-footprint in-browser reader for SOP documents, employee handbooks, and policy slides.</t>
  </si>
  <si>
    <t>Tracks page scrolling to verify full document review.</t>
  </si>
  <si>
    <t>Sidebar Drawer</t>
  </si>
  <si>
    <t>Collapsible Course Outline / Table of Contents</t>
  </si>
  <si>
    <t>Slide-out drawer button on right side: lists all chapters/modules with checkmarks</t>
  </si>
  <si>
    <t>Learners can jump between unlocked chapters; completed chapters show green checkmark icon.</t>
  </si>
  <si>
    <t>Enforces sequential locking if prerequisite gating is enabled.</t>
  </si>
  <si>
    <t>Player Footer Bar</t>
  </si>
  <si>
    <t>Previous &amp; Next Module Navigation</t>
  </si>
  <si>
    <t>Bottom action buttons: '&lt; Previous Module' and 'Next Module &gt;'</t>
  </si>
  <si>
    <t>Allows learner to advance through multi-module curriculums sequentially.</t>
  </si>
  <si>
    <t>Next button enables automatically once current module reports completion.</t>
  </si>
  <si>
    <t>Notification System</t>
  </si>
  <si>
    <t>Completion Celebration Toast &amp; Banner</t>
  </si>
  <si>
    <t>Celebratory modal/toast: 'Congratulations! Module Completed — Score: 95%'</t>
  </si>
  <si>
    <t>Triggers immediately when SCORM package reports 'completed' or 'passed'.</t>
  </si>
  <si>
    <t>Congratulates employee and provides button to return to dashboard.</t>
  </si>
  <si>
    <t>Exit Protection</t>
  </si>
  <si>
    <t>Unsaved Progress Exit Warning Modal</t>
  </si>
  <si>
    <t>Confirmation dialog: 'Are you sure you want to exit? Your progress is being saved...'</t>
  </si>
  <si>
    <t>Safeguards against accidental tab closing before the final SCORM Commit network call completes.</t>
  </si>
  <si>
    <t>Ensures 100% data integrity for compliance audit records.</t>
  </si>
  <si>
    <t>43</t>
  </si>
  <si>
    <t>Course Management Studio</t>
  </si>
  <si>
    <t>Course Management Table</t>
  </si>
  <si>
    <t>Course Inventory Data Table</t>
  </si>
  <si>
    <t>Table listing all courses with Title, Type, Duration, Enrollments Count, Published Toggle, Actions</t>
  </si>
  <si>
    <t>Central admin dashboard for reviewing, filtering, and managing all learning assets.</t>
  </si>
  <si>
    <t>Shows total number of enrolled employees from Employee Central.</t>
  </si>
  <si>
    <t>44</t>
  </si>
  <si>
    <t>Action Header</t>
  </si>
  <si>
    <t>Button: 'New Course / Upload'</t>
  </si>
  <si>
    <t>Primary action button: 'New Course' with upload icon</t>
  </si>
  <si>
    <t>Opens the CourseUploadModal for SCORM ZIP upload or manual course authoring.</t>
  </si>
  <si>
    <t>Gated by forge.courses.manage permission.</t>
  </si>
  <si>
    <t>45</t>
  </si>
  <si>
    <t>Course Upload Modal</t>
  </si>
  <si>
    <t>Course Format Selector Tabs</t>
  </si>
  <si>
    <t>Radio cards / tabs: 'SCORM Package (.zip)', 'Video (MP4 / Stream)', 'Document (PDF)', 'External URL'</t>
  </si>
  <si>
    <t>Switching tab dynamically adjusts the modal inputs to match the chosen format.</t>
  </si>
  <si>
    <t>Ensures clean metadata collection tailored to each content type.</t>
  </si>
  <si>
    <t>46</t>
  </si>
  <si>
    <t>SCORM Drag-and-Drop Dropzone</t>
  </si>
  <si>
    <t>Dashed border dropzone accepting .zip archives with file picker browse button</t>
  </si>
  <si>
    <t>User drags any SCORM zip; displays file name and size with clear visual feedback.</t>
  </si>
  <si>
    <t>Validates file extension before uploading to backend.</t>
  </si>
  <si>
    <t>47</t>
  </si>
  <si>
    <t>Live Upload Progress Bar</t>
  </si>
  <si>
    <t>Animated progress bar showing upload % and transfer speed</t>
  </si>
  <si>
    <t>Provides real-time feedback during large SCORM package uploads (up to 200MB).</t>
  </si>
  <si>
    <t>Prevents user from clicking submit multiple times.</t>
  </si>
  <si>
    <t>48</t>
  </si>
  <si>
    <t>Auto-Inspected Manifest Preview Card</t>
  </si>
  <si>
    <t>Card previewing parsed Title, Detected SCORM Version ('1.2' / '2004'), and Launch File ('index.html')</t>
  </si>
  <si>
    <t>Automatically populated immediately after ZIP upload by backend ScormService.</t>
  </si>
  <si>
    <t>Verifies manifest validity before course is saved to the database.</t>
  </si>
  <si>
    <t>49</t>
  </si>
  <si>
    <t>Course Metadata Form Fields</t>
  </si>
  <si>
    <t>Inputs: Title, Description (textarea), Estimated Duration (minutes), Difficulty dropdown</t>
  </si>
  <si>
    <t>Allows admin to override or enrich the automatically extracted manifest metadata.</t>
  </si>
  <si>
    <t>Saves directly to forge_courses table.</t>
  </si>
  <si>
    <t>50</t>
  </si>
  <si>
    <t>Target Department &amp; Designation Multi-Select</t>
  </si>
  <si>
    <t>Searchable multi-select dropdowns populated with Employee Central departments and job titles</t>
  </si>
  <si>
    <t>Tags course for specific departments (e.g. Sales, Engineering) for catalog filtering.</t>
  </si>
  <si>
    <t>Directly queries Employee Central master lists.</t>
  </si>
  <si>
    <t>51</t>
  </si>
  <si>
    <t>Target Skill Tags Input</t>
  </si>
  <si>
    <t>Chip input: type skill name and hit Enter (e.g. 'Customer Service', 'Python', 'ISO-27001')</t>
  </si>
  <si>
    <t>Maps course completion to specific skill tags that sync to employee profiles.</t>
  </si>
  <si>
    <t>Connects Forge courses directly to Employee Central skills matrix.</t>
  </si>
  <si>
    <t>52</t>
  </si>
  <si>
    <t>Thumbnail Image Dropzone / URL</t>
  </si>
  <si>
    <t>Image dropzone for course cover banner (PNG/JPG) or custom URL input</t>
  </si>
  <si>
    <t>Provides visual branding for the course card in the catalog and learner portal.</t>
  </si>
  <si>
    <t>Auto-generates high-res and mobile-optimized thumbnails.</t>
  </si>
  <si>
    <t>53</t>
  </si>
  <si>
    <t>Toggle: 'Publish Immediately'</t>
  </si>
  <si>
    <t>Switch toggle: 'Publish Immediately' (active = visible in catalog, inactive = saved as draft)</t>
  </si>
  <si>
    <t>Lets admins stage courses as drafts for review before making them visible to employees.</t>
  </si>
  <si>
    <t>Sets is_published boolean in forge_courses table.</t>
  </si>
  <si>
    <t>54</t>
  </si>
  <si>
    <t>Action Buttons: 'Save Course' &amp; 'Cancel'</t>
  </si>
  <si>
    <t>Secondary 'Cancel' button and primary 'Create Course' button with spinner state</t>
  </si>
  <si>
    <t>Submits multipart form to /api/forge/courses/upload-scorm and refreshes catalog table on success.</t>
  </si>
  <si>
    <t>Triggers success toast notification upon successful creation.</t>
  </si>
  <si>
    <t>55</t>
  </si>
  <si>
    <t>Table Actions</t>
  </si>
  <si>
    <t>One-Click Publish / Unpublish Switch</t>
  </si>
  <si>
    <t>Toggle switch right on the course table row: toggles green (Published) vs gray (Draft)</t>
  </si>
  <si>
    <t>Instantly publishes or unpublishes course from catalog without opening edit modal.</t>
  </si>
  <si>
    <t>Calls POST /api/forge/courses/{id}/publish in background.</t>
  </si>
  <si>
    <t>56</t>
  </si>
  <si>
    <t>Action Button: 'Assign Training'</t>
  </si>
  <si>
    <t>Button with user-plus icon: 'Assign' on each course row</t>
  </si>
  <si>
    <t>Opens the AssignCourseModal pre-populated with this specific course ID.</t>
  </si>
  <si>
    <t>Fast track for L&amp;D admins to dispatch training assignments.</t>
  </si>
  <si>
    <t>57</t>
  </si>
  <si>
    <t>Action Button: 'Edit Course'</t>
  </si>
  <si>
    <t>Pencil icon button: opens edit modal to update title, description, duration, or tags</t>
  </si>
  <si>
    <t>Allows editing metadata or replacing media file without breaking existing enrollment history.</t>
  </si>
  <si>
    <t>Calls PUT /api/forge/courses/{id}.</t>
  </si>
  <si>
    <t>58</t>
  </si>
  <si>
    <t>Action Button: 'Delete Course'</t>
  </si>
  <si>
    <t>Trash icon button: opens confirmation dialog ('Are you sure you want to delete this course?')</t>
  </si>
  <si>
    <t>Deletes course record from database and securely removes extracted files from disk.</t>
  </si>
  <si>
    <t>Calls ScormService.delete_course_files(course_id).</t>
  </si>
  <si>
    <t>59</t>
  </si>
  <si>
    <t>Action Button: 'View Enrolled Roster'</t>
  </si>
  <si>
    <t>Users icon button: opens slide-over drawer showing all employees currently assigned to this course</t>
  </si>
  <si>
    <t>Displays list of enrolled employees with their status, scores, and completion timestamps.</t>
  </si>
  <si>
    <t>Queries forge_enrollments joined with employees table.</t>
  </si>
  <si>
    <t>60</t>
  </si>
  <si>
    <t>Assign Training Modal</t>
  </si>
  <si>
    <t>Course Selection</t>
  </si>
  <si>
    <t>Course Selector Dropdown</t>
  </si>
  <si>
    <t>Dropdown with course thumbnail, title, and SCORM badge; auto-locked if launched from course card</t>
  </si>
  <si>
    <t>Allows admin to pick which course to assign, or pre-selects course if triggered from catalog.</t>
  </si>
  <si>
    <t>Lists all published active courses.</t>
  </si>
  <si>
    <t>61</t>
  </si>
  <si>
    <t>Target Segment Selector</t>
  </si>
  <si>
    <t>Assignment Target Segment Radio Tabs</t>
  </si>
  <si>
    <t>Segment tabs: 'Select Individual Employees', 'By Department', 'By Designation / Role', 'All Employees'</t>
  </si>
  <si>
    <t>Allows assigning to individual staff or broadcasting to entire departments in one click.</t>
  </si>
  <si>
    <t>Streamlines company-wide compliance rollout (e.g. POSH training for everyone).</t>
  </si>
  <si>
    <t>62</t>
  </si>
  <si>
    <t>Target Segment: Department</t>
  </si>
  <si>
    <t>Department Multi-Select Dropdown</t>
  </si>
  <si>
    <t>Searchable multi-select dropdown: 'Select Departments' (e.g. 'Engineering', 'Customer Support')</t>
  </si>
  <si>
    <t>Selecting a department automatically queues all active employees belonging to that department.</t>
  </si>
  <si>
    <t>Queries active employees from Employee Central where department = selected.</t>
  </si>
  <si>
    <t>63</t>
  </si>
  <si>
    <t>Target Segment: Designation</t>
  </si>
  <si>
    <t>Designation Multi-Select Dropdown</t>
  </si>
  <si>
    <t>Searchable multi-select dropdown: 'Select Designations' (e.g. 'Team Lead', 'Senior Developer')</t>
  </si>
  <si>
    <t>Enables role-specific training (e.g. 'Managerial Effectiveness' assigned to all Team Leads).</t>
  </si>
  <si>
    <t>Queries Employee Central employees where designation = selected.</t>
  </si>
  <si>
    <t>64</t>
  </si>
  <si>
    <t>Target Segment: Individual</t>
  </si>
  <si>
    <t>Searchable Employee Multi-Select Picker</t>
  </si>
  <si>
    <t>Live search input matching employee name, employee code, or email with checkbox results list</t>
  </si>
  <si>
    <t>Admin can type 'John' or 'EMP-104' to quickly find and checkmark specific team members.</t>
  </si>
  <si>
    <t>Fetches live list of active employees from /api/employees endpoint.</t>
  </si>
  <si>
    <t>65</t>
  </si>
  <si>
    <t>Employee Selection Roster</t>
  </si>
  <si>
    <t>Selected Employees Tag Chips Roster</t>
  </si>
  <si>
    <t>Roster of selected employee chips with small avatar, name, and 'X' remove button + counter pill</t>
  </si>
  <si>
    <t>Gives immediate visual confirmation of who will receive the training assignment.</t>
  </si>
  <si>
    <t>Shows counter: '18 employees selected'.</t>
  </si>
  <si>
    <t>66</t>
  </si>
  <si>
    <t>Bulk Action Controls</t>
  </si>
  <si>
    <t>Quick Action: 'Select All Active Employees'</t>
  </si>
  <si>
    <t>Checkbox / button: 'Select All Filtered Employees'</t>
  </si>
  <si>
    <t>Allows one-click selection of 500+ employees matching current search or department filter.</t>
  </si>
  <si>
    <t>Saves immense manual clicking during enterprise-wide training assignments.</t>
  </si>
  <si>
    <t>67</t>
  </si>
  <si>
    <t>Deadline Configuration</t>
  </si>
  <si>
    <t>Due Date Picker with Quick Preset Buttons</t>
  </si>
  <si>
    <t>Calendar date input + 4 preset buttons: '7 Days', '14 Days', '30 Days', 'No Deadline'</t>
  </si>
  <si>
    <t>Clicking preset button auto-calculates target completion date; stores in due_date timestamp.</t>
  </si>
  <si>
    <t>Used by notification engine to trigger automated overdue warnings.</t>
  </si>
  <si>
    <t>68</t>
  </si>
  <si>
    <t>Assignment Nature</t>
  </si>
  <si>
    <t>Mandatory Compliance vs Elective Toggle</t>
  </si>
  <si>
    <t>Toggle switch: 'Mark as Mandatory Compliance Training'</t>
  </si>
  <si>
    <t>Flags the assignment so it displays with high-priority red styling on employee dashboard.</t>
  </si>
  <si>
    <t>Enforces manager escalation workflows for non-completion.</t>
  </si>
  <si>
    <t>69</t>
  </si>
  <si>
    <t>Notification Trigger</t>
  </si>
  <si>
    <t>Checkbox: 'Send Email &amp; In-App Notification'</t>
  </si>
  <si>
    <t>Checkbox (checked by default): 'Notify assigned employees via email and dashboard alert'</t>
  </si>
  <si>
    <t>When checked, dispatches instant welcome email with course link to all assigned employees.</t>
  </si>
  <si>
    <t>Integrates with Phygitron email dispatch service.</t>
  </si>
  <si>
    <t>70</t>
  </si>
  <si>
    <t>Action Buttons</t>
  </si>
  <si>
    <t>Action Buttons: 'Cancel' &amp; 'Assign Training'</t>
  </si>
  <si>
    <t>Secondary 'Cancel' button and primary 'Assign Training' button with loading spinner</t>
  </si>
  <si>
    <t>Batch inserts records into forge_enrollments and initializes forge_progress; shows success toast.</t>
  </si>
  <si>
    <t>Handles conflict upsert safely if employee was previously assigned.</t>
  </si>
  <si>
    <t>71</t>
  </si>
  <si>
    <t>Employee Central Integration</t>
  </si>
  <si>
    <t>Employee Profile Page</t>
  </si>
  <si>
    <t>Dedicated 'Training &amp; Learning' Profile Tab</t>
  </si>
  <si>
    <t>Tab button on Employee Profile (/deploy/employees/:code) alongside 'Personal', 'Attendance', 'Assets'</t>
  </si>
  <si>
    <t>Displays employee's complete corporate learning journey directly inside their HRMS profile.</t>
  </si>
  <si>
    <t>Accessible to HR admins, managers, and the employee themselves.</t>
  </si>
  <si>
    <t>72</t>
  </si>
  <si>
    <t>Employee Profile Tab</t>
  </si>
  <si>
    <t>Active Courses &amp; Overdue Assignments Table</t>
  </si>
  <si>
    <t>Table listing assigned courses, progress %, assigned date, due date, and overdue flag</t>
  </si>
  <si>
    <t>HR and managers can see at a glance whether the employee is compliant with required training.</t>
  </si>
  <si>
    <t>Queries forge_enrollments where employee_code = employee.employee_code.</t>
  </si>
  <si>
    <t>73</t>
  </si>
  <si>
    <t>Completed Training History &amp; Certifications Ledger</t>
  </si>
  <si>
    <t>Table of completed courses, completion dates, test scores, and 'View Certificate' link</t>
  </si>
  <si>
    <t>Serves as the employee's official statutory training transcript inside the HRMS.</t>
  </si>
  <si>
    <t>Permanent record that remains intact across employee tenure.</t>
  </si>
  <si>
    <t>74</t>
  </si>
  <si>
    <t>Quick Action Button: 'Assign Training'</t>
  </si>
  <si>
    <t>Button: '+ Assign Course' located on employee profile training tab</t>
  </si>
  <si>
    <t>Opens AssignCourseModal pre-populated with this specific employee code.</t>
  </si>
  <si>
    <t>Allows HR or manager to assign targeted training directly from the employee profile.</t>
  </si>
  <si>
    <t>75</t>
  </si>
  <si>
    <t>Onboarding Automation</t>
  </si>
  <si>
    <t>New Hire Onboarding Auto-Assignment Trigger</t>
  </si>
  <si>
    <t>Background automation rule triggered when a new employee is created in Employee Central</t>
  </si>
  <si>
    <t>Automatically enrolls the new hire into standard onboarding courses (e.g. POSH, Information Security, Company Culture).</t>
  </si>
  <si>
    <t>Hooks into EmployeeService.create_employee() lifecycle hook.</t>
  </si>
  <si>
    <t>76</t>
  </si>
  <si>
    <t>Role Change Automation</t>
  </si>
  <si>
    <t>Department / Role Transfer Course Reassignment</t>
  </si>
  <si>
    <t>Automated check when an employee's department or designation is updated in Employee Central</t>
  </si>
  <si>
    <t>Prompts manager to assign role-specific training modules required for the new position.</t>
  </si>
  <si>
    <t>Keeps workforce qualifications aligned with organizational movements.</t>
  </si>
  <si>
    <t>77</t>
  </si>
  <si>
    <t>Skills Matrix Sync</t>
  </si>
  <si>
    <t>Skill Matrix Proficiency Auto-Update</t>
  </si>
  <si>
    <t>Backend sync: passing an accredited course updates employee's verified skill level in HRMS</t>
  </si>
  <si>
    <t>When an employee passes a course tagged with 'Customer Service', their profile skill matrix gains a verified badge.</t>
  </si>
  <si>
    <t>Eliminates manual skill updating by managers.</t>
  </si>
  <si>
    <t>78</t>
  </si>
  <si>
    <t>Performance Review Sync</t>
  </si>
  <si>
    <t>Performance Review Training Hours &amp; Score Sync</t>
  </si>
  <si>
    <t>Widget in Employee Central Performance Review tab showing training hours completed in review period</t>
  </si>
  <si>
    <t>Allows managers during annual appraisals to evaluate employee's continuous learning dedication.</t>
  </si>
  <si>
    <t>Pulls aggregated training hours and average scores from Forge database.</t>
  </si>
  <si>
    <t>79</t>
  </si>
  <si>
    <t>Offboarding Checklist</t>
  </si>
  <si>
    <t>Exit Clearance Compliance Verification</t>
  </si>
  <si>
    <t>Checklist item in Employee Central Exit/Resignation workflow: 'Mandatory Training Cleared'</t>
  </si>
  <si>
    <t>Verifies employee has completed all legally required compliance courses before generating relieving letter.</t>
  </si>
  <si>
    <t>Ensures company audit compliance defense before employee leaves.</t>
  </si>
  <si>
    <t>80</t>
  </si>
  <si>
    <t>Document Repository</t>
  </si>
  <si>
    <t>Earned Certificate Sync to Employee Document Locker</t>
  </si>
  <si>
    <t>Automated copy of earned certificate PDF saved to employee's document vault in Employee Central</t>
  </si>
  <si>
    <t>HR can view and print employee certificates alongside their ID proofs and contracts.</t>
  </si>
  <si>
    <t>Saves into /data/documents/employees/{code}/certificates/.</t>
  </si>
  <si>
    <t>81</t>
  </si>
  <si>
    <t>Manager Team Dashboard</t>
  </si>
  <si>
    <t>Team Header &amp; Scope</t>
  </si>
  <si>
    <t>Direct Reports Filter &amp; Team Header</t>
  </si>
  <si>
    <t>Header showing 'My Team (8 members)' with team completion rate % ring</t>
  </si>
  <si>
    <t>Filters view strictly to direct reports where reporting_manager_id matches logged-in user.</t>
  </si>
  <si>
    <t>Directly integrates with Employee Central manager hierarchy.</t>
  </si>
  <si>
    <t>82</t>
  </si>
  <si>
    <t>Team Summary Metrics</t>
  </si>
  <si>
    <t>Team Compliance Overview Cards</t>
  </si>
  <si>
    <t>3 metric cards: 'Assigned to Team', 'Team Completed', 'Team Overdue Tasks'</t>
  </si>
  <si>
    <t>Gives managers immediate visibility into team-wide compliance risks.</t>
  </si>
  <si>
    <t>Highlights overdue tasks in urgent amber/red styling.</t>
  </si>
  <si>
    <t>83</t>
  </si>
  <si>
    <t>Team Roster Table</t>
  </si>
  <si>
    <t>Direct Reports Progress Roster</t>
  </si>
  <si>
    <t>Table listing Employee Name, Code, Role, Active Courses Count, Overall Progress %, Overdue Count, Actions</t>
  </si>
  <si>
    <t>Central command center for supervisors to monitor learning progress across their team.</t>
  </si>
  <si>
    <t>Columns support sorting by overdue count and progress %.</t>
  </si>
  <si>
    <t>84</t>
  </si>
  <si>
    <t>Table Action Button</t>
  </si>
  <si>
    <t>One-Click 'Nudge / Remind' Action Button</t>
  </si>
  <si>
    <t>Bell icon button: 'Nudge' next to employees with overdue or pending courses</t>
  </si>
  <si>
    <t>Sends instant email and dashboard alert reminding the employee of their deadline.</t>
  </si>
  <si>
    <t>Logs reminder timestamp to prevent spamming more than once per 24 hours.</t>
  </si>
  <si>
    <t>85</t>
  </si>
  <si>
    <t>Slide-Over: 'View Employee Learning Details'</t>
  </si>
  <si>
    <t>Button: 'View Details' opening right drawer with detailed breakdown of all courses assigned to this employee</t>
  </si>
  <si>
    <t>Manager can see module-level scores, last access dates, and time spent.</t>
  </si>
  <si>
    <t>Helps managers conduct 1-on-1 development conversations.</t>
  </si>
  <si>
    <t>86</t>
  </si>
  <si>
    <t>Header Action Button</t>
  </si>
  <si>
    <t>Action Button: 'Assign Training to Team'</t>
  </si>
  <si>
    <t>Primary button: '+ Assign Course to My Team'</t>
  </si>
  <si>
    <t>Opens AssignCourseModal with all direct reports pre-checked in the recipient roster.</t>
  </si>
  <si>
    <t>Allows a manager to quickly roll out a new skill course to their entire team in 10 seconds.</t>
  </si>
  <si>
    <t>87</t>
  </si>
  <si>
    <t>Export Action</t>
  </si>
  <si>
    <t>Button: 'Export Team Compliance Report'</t>
  </si>
  <si>
    <t>Download button: exports current team training roster and status to CSV/Excel</t>
  </si>
  <si>
    <t>Manager can present team compliance data to department heads or auditors.</t>
  </si>
  <si>
    <t>Generates clean branded spreadsheet.</t>
  </si>
  <si>
    <t>88</t>
  </si>
  <si>
    <t>Forge Dashboard Overview</t>
  </si>
  <si>
    <t>Top KPI Metric Cards</t>
  </si>
  <si>
    <t>Stat Card: Active Published Courses</t>
  </si>
  <si>
    <t>Stat card with BookOpen icon showing total published courses available</t>
  </si>
  <si>
    <t>Queries forge_courses where is_published = true.</t>
  </si>
  <si>
    <t>Live metric from /api/forge/stats.</t>
  </si>
  <si>
    <t>89</t>
  </si>
  <si>
    <t>Stat Card: Enrolled Employees (Unique Learners)</t>
  </si>
  <si>
    <t>Stat card with Users icon showing count of distinct employees enrolled in training</t>
  </si>
  <si>
    <t>Queries count of distinct employee_code in forge_enrollments.</t>
  </si>
  <si>
    <t>90</t>
  </si>
  <si>
    <t>Stat Card: Certifications Issued</t>
  </si>
  <si>
    <t>Stat card with Award icon showing total completed course milestones</t>
  </si>
  <si>
    <t>Queries count of forge_enrollments where status = 'completed'.</t>
  </si>
  <si>
    <t>91</t>
  </si>
  <si>
    <t>Stat Card: Overall Completion Rate %</t>
  </si>
  <si>
    <t>Stat card with percentage text and visual progress ring (e.g. '78.4%')</t>
  </si>
  <si>
    <t>Calculated as (completed enrollments / total enrollments) * 100.</t>
  </si>
  <si>
    <t>92</t>
  </si>
  <si>
    <t>Stat Card: Pending / Overdue Assignments</t>
  </si>
  <si>
    <t>Stat card with Clock/Alert icon showing count of in-progress and overdue assignments</t>
  </si>
  <si>
    <t>Queries count of enrollments where status IN ('assigned', 'in_progress').</t>
  </si>
  <si>
    <t>93</t>
  </si>
  <si>
    <t>Master Assignments Table</t>
  </si>
  <si>
    <t>Live Search Input on Assignments Roster</t>
  </si>
  <si>
    <t>Search bar filtering assignments by employee name, employee code, or course title</t>
  </si>
  <si>
    <t>Admins can immediately look up any assignment across the company.</t>
  </si>
  <si>
    <t>Instant client-side filter with debounce.</t>
  </si>
  <si>
    <t>94</t>
  </si>
  <si>
    <t>Status Filter Tabs on Assignments</t>
  </si>
  <si>
    <t>Tabs: 'All Assignments', 'Assigned', 'In Progress', 'Completed', 'Overdue'</t>
  </si>
  <si>
    <t>Filters the assignments table by lifecycle status.</t>
  </si>
  <si>
    <t>Allows HR to quickly isolate overdue records for compliance escalation.</t>
  </si>
  <si>
    <t>95</t>
  </si>
  <si>
    <t>Department Filter Dropdown on Assignments</t>
  </si>
  <si>
    <t>Dropdown selecting specific departments to isolate their assignments table</t>
  </si>
  <si>
    <t>Filters joined employees by department column.</t>
  </si>
  <si>
    <t>Connects to Employee Central department hierarchy.</t>
  </si>
  <si>
    <t>96</t>
  </si>
  <si>
    <t>Table Action: 'Extend Due Date'</t>
  </si>
  <si>
    <t>Action button on row: opens date picker modal to grant an extension to an employee</t>
  </si>
  <si>
    <t>Updates due_date timestamp and logs extension in audit notes.</t>
  </si>
  <si>
    <t>Prevents unfair overdue marks when employees take medical leave.</t>
  </si>
  <si>
    <t>97</t>
  </si>
  <si>
    <t>Table Action: 'Revoke / Unenroll'</t>
  </si>
  <si>
    <t>Trash icon button on row: unenrolls employee with confirmation prompt</t>
  </si>
  <si>
    <t>Deletes enrollment record and associated progress cleanly.</t>
  </si>
  <si>
    <t>Calls DELETE /api/forge/enrollments/{id}.</t>
  </si>
  <si>
    <t>98</t>
  </si>
  <si>
    <t>Learner Self-View</t>
  </si>
  <si>
    <t>Learner Personalized Dashboard Banner</t>
  </si>
  <si>
    <t>Non-admin employee view: shows 'Welcome back, [Name]!', active course carousel, and quick resume button</t>
  </si>
  <si>
    <t>Provides consumer-grade personalized learning homepage for regular employees.</t>
  </si>
  <si>
    <t>Greets user by first name from Employee Central.</t>
  </si>
  <si>
    <t>99</t>
  </si>
  <si>
    <t>Assessment &amp; Quiz Hub</t>
  </si>
  <si>
    <t>Course Builder Quiz Link</t>
  </si>
  <si>
    <t>Attach Assessment to Course Module</t>
  </si>
  <si>
    <t>Button in Course Builder: '+ Attach Final Assessment'</t>
  </si>
  <si>
    <t>Allows instructor to attach a quiz from Verify Assessment Hub as a mandatory course final exam.</t>
  </si>
  <si>
    <t>Directly integrates Forge courses with Verify assessment database.</t>
  </si>
  <si>
    <t>100</t>
  </si>
  <si>
    <t>Configurable Passing Score % Input</t>
  </si>
  <si>
    <t>Numeric input: 'Minimum Passing Score %' (default 80%)</t>
  </si>
  <si>
    <t>Course will not mark as completed until the learner achieves this minimum threshold.</t>
  </si>
  <si>
    <t>Enforces compliance rigor for certification.</t>
  </si>
  <si>
    <t>101</t>
  </si>
  <si>
    <t>Maximum Allowed Retake Attempts Dropdown</t>
  </si>
  <si>
    <t>Dropdown: '1 Attempt', '2 Attempts', '3 Attempts', 'Unlimited Attempts'</t>
  </si>
  <si>
    <t>Controls how many chances a learner has to pass before supervisor intervention is required.</t>
  </si>
  <si>
    <t>Stores attempt count in forge_progress table.</t>
  </si>
  <si>
    <t>102</t>
  </si>
  <si>
    <t>Learner Quiz Interface</t>
  </si>
  <si>
    <t>Timed Exam Interface with Countdown Timer</t>
  </si>
  <si>
    <t>Prominent countdown clock header with visual warning when under 2 minutes remain</t>
  </si>
  <si>
    <t>Tests candidate under strict time constraints; automatically submits when timer reaches 00:00.</t>
  </si>
  <si>
    <t>Protects exam integrity for technical assessments.</t>
  </si>
  <si>
    <t>103</t>
  </si>
  <si>
    <t>Multiple Choice &amp; Multi-Select Question Cards</t>
  </si>
  <si>
    <t>Card rendering question prompt, code snippets/images, and styled radio/checkbox options</t>
  </si>
  <si>
    <t>Learner clicks option; highlights in purple pill container; supports keyboard navigation.</t>
  </si>
  <si>
    <t>Pulls question bank items from Verify module.</t>
  </si>
  <si>
    <t>104</t>
  </si>
  <si>
    <t>Question Navigation Controls</t>
  </si>
  <si>
    <t>Buttons: '&lt; Previous', 'Next &gt;', and 'Flag Question for Review' button</t>
  </si>
  <si>
    <t>Allows learner to review questions before final submission; flagged questions show orange dot on grid.</t>
  </si>
  <si>
    <t>Improves learner test-taking experience.</t>
  </si>
  <si>
    <t>105</t>
  </si>
  <si>
    <t>Action Button: 'Submit Assessment'</t>
  </si>
  <si>
    <t>Green primary button: 'Submit Assessment' opening confirmation dialog</t>
  </si>
  <si>
    <t>Calculates score immediately; displays instant results modal with pass/fail status.</t>
  </si>
  <si>
    <t>Syncs score to forge_enrollments and updates completion status.</t>
  </si>
  <si>
    <t>106</t>
  </si>
  <si>
    <t>Quiz Results Modal</t>
  </si>
  <si>
    <t>Scorecard Modal &amp; Performance Breakdown</t>
  </si>
  <si>
    <t>Modal with celebratory or retry banner, percentage score, correct/incorrect count, and breakdown by topic</t>
  </si>
  <si>
    <t>Gives immediate diagnostic feedback on learner strengths and weak areas.</t>
  </si>
  <si>
    <t>Displays 'Retake Quiz' button if attempts remain, or 'Download Certificate' if passed.</t>
  </si>
  <si>
    <t>107</t>
  </si>
  <si>
    <t>Certificates &amp; Verification</t>
  </si>
  <si>
    <t>Certificate Viewer</t>
  </si>
  <si>
    <t>Automated PDF Certificate Generator</t>
  </si>
  <si>
    <t>Server-side PDF generation rendering learner name, course title, completion date, and corporate seals</t>
  </si>
  <si>
    <t>Generates print-ready high-resolution certificate instantly upon course completion.</t>
  </si>
  <si>
    <t>Pulls formal employee name from Employee Central.</t>
  </si>
  <si>
    <t>108</t>
  </si>
  <si>
    <t>Interactive Certificate Modal Viewer</t>
  </si>
  <si>
    <t>Modal previewing certificate with 'Download PDF' and 'Print' action buttons</t>
  </si>
  <si>
    <t>Learner can preview, save, or print their certificate directly from the browser.</t>
  </si>
  <si>
    <t>Accessible from My Learning page or Employee Profile tab.</t>
  </si>
  <si>
    <t>109</t>
  </si>
  <si>
    <t>Anti-Fraud</t>
  </si>
  <si>
    <t>Tamper-Proof Serial Number &amp; QR Code</t>
  </si>
  <si>
    <t>Embedded unique alphanumeric Certificate ID + scannable QR code on certificate border</t>
  </si>
  <si>
    <t>Scanning the QR code routes to public verification URL confirming credential authenticity.</t>
  </si>
  <si>
    <t>Guarantees credibility for external compliance auditors and clients.</t>
  </si>
  <si>
    <t>110</t>
  </si>
  <si>
    <t>Public Verification Page</t>
  </si>
  <si>
    <t>Public Certificate Verification URL (/verify-certificate/:id)</t>
  </si>
  <si>
    <t>Standalone public web page displaying green checkmark, recipient name, course name, and issue date</t>
  </si>
  <si>
    <t>Third parties (auditors, clients, recruiters) can verify certificates without needing an LMS account.</t>
  </si>
  <si>
    <t>Protects corporate credential integrity.</t>
  </si>
  <si>
    <t>111</t>
  </si>
  <si>
    <t>Social Sharing</t>
  </si>
  <si>
    <t>Button: 'Add to LinkedIn Profile'</t>
  </si>
  <si>
    <t>Official LinkedIn credential button: pre-fills course name, issuing organization, and verification URL</t>
  </si>
  <si>
    <t>Allows employees to celebrate achievements and promotes company employer brand publicly.</t>
  </si>
  <si>
    <t>Deep link to LinkedIn Add Certification API.</t>
  </si>
  <si>
    <t>112</t>
  </si>
  <si>
    <t>Reports &amp; Export Center</t>
  </si>
  <si>
    <t>Report Configuration</t>
  </si>
  <si>
    <t>Report Type Selector Dropdown</t>
  </si>
  <si>
    <t>Dropdown: 'Course Completion Report', 'Department Compliance Audit', 'Overdue Learners Roster', 'Skill Matrix'</t>
  </si>
  <si>
    <t>Selects which analytical dataset to generate and display in the reporting preview grid.</t>
  </si>
  <si>
    <t>Pre-formatted for corporate compliance and HR audit submissions.</t>
  </si>
  <si>
    <t>113</t>
  </si>
  <si>
    <t>Date Range Preset &amp; Custom Picker</t>
  </si>
  <si>
    <t>Presets: 'Last 7 Days', 'Last 30 Days', 'This Quarter', 'This Year', 'Custom Date Range'</t>
  </si>
  <si>
    <t>Filters training completion timestamps to match specific audit or review periods.</t>
  </si>
  <si>
    <t>Essential for quarterly compliance audit filings.</t>
  </si>
  <si>
    <t>114</t>
  </si>
  <si>
    <t>Department &amp; Designation Multi-Filters</t>
  </si>
  <si>
    <t>Multi-select dropdowns filtering the report to specific business units or role tiers</t>
  </si>
  <si>
    <t>Allows HR to generate isolated compliance reports per department (e.g. 'Sales Compliance 2026').</t>
  </si>
  <si>
    <t>Directly queries Employee Central master structure.</t>
  </si>
  <si>
    <t>115</t>
  </si>
  <si>
    <t>Export Action Buttons</t>
  </si>
  <si>
    <t>Export Buttons: 'Export Excel (.xlsx)' &amp; 'Export CSV'</t>
  </si>
  <si>
    <t>Buttons with Excel and CSV icons: downloads filtered dataset immediately as styled spreadsheet</t>
  </si>
  <si>
    <t>Generates clean file with employee code, name, department, course, score, and completion timestamp.</t>
  </si>
  <si>
    <t>Instant one-click audit submission for statutory regulatory reviews.</t>
  </si>
  <si>
    <t>LEARNING CENTRAL (FORGE) — PAGE &amp; MODULE SUMMARY</t>
  </si>
  <si>
    <t>Roll-up metrics calculated dynamically from the Features sheet. Updates automatically when Priority or Status changes.</t>
  </si>
  <si>
    <t>Page / Module</t>
  </si>
  <si>
    <t>Total Features</t>
  </si>
  <si>
    <t>P1 (Must-Have)</t>
  </si>
  <si>
    <t>P2 (High-Value)</t>
  </si>
  <si>
    <t>P3 (Enhancement)</t>
  </si>
  <si>
    <t>% Completed</t>
  </si>
  <si>
    <t>TOTAL ALL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</si>
</sst>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9" x14ac:knownFonts="1">
    <font>
      <sz val="11"/>
      <color theme="1"/>
      <name val="Calibri"/>
      <family val="2"/>
      <scheme val="minor"/>
    </font>
    <font>
      <b/>
      <sz val="15"/>
      <color rgb="FF1E3A8A"/>
      <name val="Segoe UI"/>
    </font>
    <font>
      <i/>
      <sz val="10"/>
      <color rgb="FF47556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1E3A8A"/>
      <name val="Segoe UI"/>
    </font>
    <font>
      <b/>
      <sz val="10"/>
      <name val="Segoe UI"/>
    </font>
    <font>
      <b/>
      <sz val="10"/>
      <color rgb="FF0F172A"/>
      <name val="Segoe UI"/>
    </font>
    <font>
      <b/>
      <sz val="10"/>
      <color rgb="FFDC2626"/>
      <name val="Segoe UI"/>
    </font>
    <font>
      <b/>
      <sz val="9"/>
      <color rgb="FF059669"/>
      <name val="Segoe UI"/>
    </font>
    <font>
      <b/>
      <sz val="9"/>
      <color rgb="FF7C3AED"/>
      <name val="Segoe UI"/>
    </font>
    <font>
      <b/>
      <sz val="10"/>
      <color rgb="FFD97706"/>
      <name val="Segoe UI"/>
    </font>
    <font>
      <b/>
      <sz val="9"/>
      <color rgb="FF64748B"/>
      <name val="Segoe UI"/>
    </font>
    <font>
      <b/>
      <sz val="11"/>
      <color rgb="FF0F172A"/>
      <name val="Segoe UI"/>
    </font>
    <font>
      <b/>
      <sz val="11"/>
      <color rgb="FF1E3A8A"/>
      <name val="Segoe UI"/>
    </font>
    <font>
      <b/>
      <sz val="11"/>
      <color rgb="FFDC2626"/>
      <name val="Segoe UI"/>
    </font>
    <font>
      <b/>
      <sz val="11"/>
      <color rgb="FFD97706"/>
      <name val="Segoe UI"/>
    </font>
    <font>
      <b/>
      <sz val="11"/>
      <color rgb="FF2563EB"/>
      <name val="Segoe UI"/>
    </font>
    <font>
      <b/>
      <sz val="11"/>
      <color rgb="FF059669"/>
      <name val="Segoe UI"/>
    </font>
    <font>
      <b/>
      <sz val="14"/>
      <color rgb="FF1E3A8A"/>
      <name val="Segoe UI"/>
    </font>
    <font>
      <b/>
      <sz val="11"/>
      <color rgb="FFFFFFFF"/>
      <name val="Segoe UI"/>
    </font>
    <font>
      <b/>
      <sz val="10"/>
      <color rgb="FF1E3A8A"/>
      <name val="Segoe UI"/>
    </font>
    <font>
      <b/>
      <sz val="10"/>
      <color rgb="FF0F172A"/>
      <name val="Segoe UI"/>
    </font>
    <font>
      <sz val="9"/>
      <color rgb="FF64748B"/>
      <name val="Segoe UI"/>
    </font>
    <font>
      <b/>
      <sz val="11"/>
      <color rgb="FF0F172A"/>
      <name val="Segoe UI"/>
    </font>
    <font>
      <i/>
      <sz val="10"/>
      <name val="Segoe UI"/>
    </font>
    <font>
      <b/>
      <sz val="11"/>
      <color rgb="FF1E3A8A"/>
      <name val="Segoe UI"/>
    </font>
    <font>
      <b/>
      <sz val="12"/>
      <color rgb="FF7C3AED"/>
      <name val="Segoe UI"/>
    </font>
    <font>
      <b/>
      <sz val="12"/>
      <color rgb="FFFFFFFF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2E8F0"/>
        <bgColor rgb="FFE2E8F0"/>
      </patternFill>
    </fill>
    <fill>
      <patternFill patternType="solid">
        <fgColor rgb="FF312E81"/>
        <bgColor rgb="FF312E81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1E293B"/>
      </top>
      <bottom style="double">
        <color rgb="FF1E293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164" fontId="13" fillId="5" borderId="2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0" fillId="6" borderId="3" xfId="0" applyFont="1" applyFill="1" applyBorder="1" applyAlignment="1">
      <alignment horizontal="left" vertical="center"/>
    </xf>
    <xf numFmtId="0" fontId="20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/>
    </xf>
    <xf numFmtId="165" fontId="4" fillId="7" borderId="3" xfId="0" applyNumberFormat="1" applyFont="1" applyFill="1" applyBorder="1" applyAlignment="1">
      <alignment horizontal="center" vertical="center"/>
    </xf>
    <xf numFmtId="165" fontId="22" fillId="7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165" fontId="4" fillId="8" borderId="3" xfId="0" applyNumberFormat="1" applyFont="1" applyFill="1" applyBorder="1" applyAlignment="1">
      <alignment horizontal="center" vertical="center"/>
    </xf>
    <xf numFmtId="165" fontId="22" fillId="8" borderId="3" xfId="0" applyNumberFormat="1" applyFont="1" applyFill="1" applyBorder="1" applyAlignment="1">
      <alignment horizontal="center" vertical="center"/>
    </xf>
    <xf numFmtId="0" fontId="24" fillId="9" borderId="4" xfId="0" applyFont="1" applyFill="1" applyBorder="1"/>
    <xf numFmtId="0" fontId="25" fillId="9" borderId="4" xfId="0" applyFont="1" applyFill="1" applyBorder="1"/>
    <xf numFmtId="165" fontId="26" fillId="9" borderId="4" xfId="0" applyNumberFormat="1" applyFont="1" applyFill="1" applyBorder="1" applyAlignment="1">
      <alignment horizontal="center" vertical="center"/>
    </xf>
    <xf numFmtId="165" fontId="27" fillId="9" borderId="4" xfId="0" applyNumberFormat="1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/>
    </xf>
    <xf numFmtId="0" fontId="21" fillId="7" borderId="3" xfId="0" applyFont="1" applyFill="1" applyBorder="1" applyAlignment="1">
      <alignment horizontal="left" vertical="center"/>
    </xf>
    <xf numFmtId="0" fontId="23" fillId="7" borderId="3" xfId="0" applyFont="1" applyFill="1" applyBorder="1" applyAlignment="1">
      <alignment horizontal="left" vertical="center"/>
    </xf>
    <xf numFmtId="0" fontId="23" fillId="8" borderId="3" xfId="0" applyFont="1" applyFill="1" applyBorder="1" applyAlignment="1">
      <alignment horizontal="left" vertical="center"/>
    </xf>
    <xf numFmtId="0" fontId="22" fillId="7" borderId="3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28" fillId="10" borderId="0" xfId="0" applyFont="1" applyFill="1" applyAlignment="1">
      <alignment horizontal="left" vertical="center" indent="1"/>
    </xf>
    <xf numFmtId="0" fontId="1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9557-51F4-5D4A-A28F-8ECDEF5412F7}">
  <dimension ref="A1:F60"/>
  <sheetViews>
    <sheetView workbookViewId="0">
      <pane ySplit="3" topLeftCell="A4" activePane="bottomLeft" state="frozen"/>
      <selection pane="bottomLeft" activeCell="A6" sqref="A6:C9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75" customWidth="1"/>
    <col min="4" max="5" width="20" customWidth="1"/>
    <col min="6" max="6" width="22" customWidth="1"/>
  </cols>
  <sheetData>
    <row r="1" spans="1:6" ht="21" x14ac:dyDescent="0.2">
      <c r="A1" s="63" t="s">
        <v>38</v>
      </c>
      <c r="B1" s="60"/>
      <c r="C1" s="60"/>
      <c r="D1" s="60"/>
      <c r="E1" s="60"/>
    </row>
    <row r="3" spans="1:6" ht="26" customHeight="1" x14ac:dyDescent="0.2">
      <c r="A3" s="40" t="s">
        <v>39</v>
      </c>
      <c r="B3" s="40" t="s">
        <v>40</v>
      </c>
      <c r="C3" s="40" t="s">
        <v>41</v>
      </c>
      <c r="D3" s="41" t="s">
        <v>42</v>
      </c>
      <c r="E3" s="41" t="s">
        <v>43</v>
      </c>
      <c r="F3" s="41" t="s">
        <v>44</v>
      </c>
    </row>
    <row r="4" spans="1:6" ht="28" customHeight="1" x14ac:dyDescent="0.2">
      <c r="A4" s="62" t="s">
        <v>45</v>
      </c>
      <c r="B4" s="60"/>
      <c r="C4" s="60"/>
      <c r="D4" s="60"/>
      <c r="E4" s="60"/>
      <c r="F4" s="60"/>
    </row>
    <row r="5" spans="1:6" ht="22" customHeight="1" x14ac:dyDescent="0.2">
      <c r="A5" s="52" t="s">
        <v>46</v>
      </c>
      <c r="B5" s="53" t="s">
        <v>47</v>
      </c>
      <c r="C5" s="45" t="s">
        <v>48</v>
      </c>
      <c r="D5" s="46">
        <v>1.5</v>
      </c>
      <c r="E5" s="46">
        <v>1</v>
      </c>
      <c r="F5" s="47">
        <v>2.5</v>
      </c>
    </row>
    <row r="6" spans="1:6" ht="22" customHeight="1" x14ac:dyDescent="0.2">
      <c r="A6" s="54" t="s">
        <v>46</v>
      </c>
      <c r="B6" s="55" t="s">
        <v>47</v>
      </c>
      <c r="C6" s="42" t="s">
        <v>49</v>
      </c>
      <c r="D6" s="43">
        <v>2</v>
      </c>
      <c r="E6" s="43">
        <v>1</v>
      </c>
      <c r="F6" s="44">
        <v>3</v>
      </c>
    </row>
    <row r="7" spans="1:6" ht="22" customHeight="1" x14ac:dyDescent="0.2">
      <c r="A7" s="52" t="s">
        <v>46</v>
      </c>
      <c r="B7" s="56" t="s">
        <v>47</v>
      </c>
      <c r="C7" s="45" t="s">
        <v>50</v>
      </c>
      <c r="D7" s="46">
        <v>2</v>
      </c>
      <c r="E7" s="46">
        <v>1.5</v>
      </c>
      <c r="F7" s="47">
        <v>3.5</v>
      </c>
    </row>
    <row r="8" spans="1:6" ht="22" customHeight="1" x14ac:dyDescent="0.2">
      <c r="A8" s="54" t="s">
        <v>46</v>
      </c>
      <c r="B8" s="55" t="s">
        <v>47</v>
      </c>
      <c r="C8" s="42" t="s">
        <v>51</v>
      </c>
      <c r="D8" s="43">
        <v>1</v>
      </c>
      <c r="E8" s="43">
        <v>0.5</v>
      </c>
      <c r="F8" s="44">
        <v>1.5</v>
      </c>
    </row>
    <row r="9" spans="1:6" ht="22" customHeight="1" x14ac:dyDescent="0.2">
      <c r="A9" s="52" t="s">
        <v>46</v>
      </c>
      <c r="B9" s="53" t="s">
        <v>52</v>
      </c>
      <c r="C9" s="45" t="s">
        <v>53</v>
      </c>
      <c r="D9" s="46">
        <v>2.5</v>
      </c>
      <c r="E9" s="46">
        <v>2.5</v>
      </c>
      <c r="F9" s="47">
        <v>5</v>
      </c>
    </row>
    <row r="10" spans="1:6" ht="22" customHeight="1" x14ac:dyDescent="0.2">
      <c r="A10" s="54" t="s">
        <v>46</v>
      </c>
      <c r="B10" s="55" t="s">
        <v>52</v>
      </c>
      <c r="C10" s="42" t="s">
        <v>54</v>
      </c>
      <c r="D10" s="43">
        <v>1.5</v>
      </c>
      <c r="E10" s="43">
        <v>1</v>
      </c>
      <c r="F10" s="44">
        <v>2.5</v>
      </c>
    </row>
    <row r="11" spans="1:6" ht="22" customHeight="1" x14ac:dyDescent="0.2">
      <c r="A11" s="52" t="s">
        <v>46</v>
      </c>
      <c r="B11" s="56" t="s">
        <v>52</v>
      </c>
      <c r="C11" s="45" t="s">
        <v>55</v>
      </c>
      <c r="D11" s="46">
        <v>1.5</v>
      </c>
      <c r="E11" s="46">
        <v>0.5</v>
      </c>
      <c r="F11" s="47">
        <v>2</v>
      </c>
    </row>
    <row r="12" spans="1:6" ht="22" customHeight="1" x14ac:dyDescent="0.2">
      <c r="A12" s="54" t="s">
        <v>46</v>
      </c>
      <c r="B12" s="55" t="s">
        <v>52</v>
      </c>
      <c r="C12" s="42" t="s">
        <v>56</v>
      </c>
      <c r="D12" s="43">
        <v>1.5</v>
      </c>
      <c r="E12" s="43">
        <v>1</v>
      </c>
      <c r="F12" s="44">
        <v>2.5</v>
      </c>
    </row>
    <row r="13" spans="1:6" ht="22" customHeight="1" x14ac:dyDescent="0.2">
      <c r="A13" s="52" t="s">
        <v>46</v>
      </c>
      <c r="B13" s="53" t="s">
        <v>57</v>
      </c>
      <c r="C13" s="45" t="s">
        <v>58</v>
      </c>
      <c r="D13" s="46">
        <v>2</v>
      </c>
      <c r="E13" s="46">
        <v>1.5</v>
      </c>
      <c r="F13" s="47">
        <v>3.5</v>
      </c>
    </row>
    <row r="14" spans="1:6" ht="22" customHeight="1" x14ac:dyDescent="0.2">
      <c r="A14" s="54" t="s">
        <v>46</v>
      </c>
      <c r="B14" s="55" t="s">
        <v>57</v>
      </c>
      <c r="C14" s="42" t="s">
        <v>59</v>
      </c>
      <c r="D14" s="43">
        <v>1.5</v>
      </c>
      <c r="E14" s="43">
        <v>1</v>
      </c>
      <c r="F14" s="44">
        <v>2.5</v>
      </c>
    </row>
    <row r="15" spans="1:6" ht="22" customHeight="1" x14ac:dyDescent="0.2">
      <c r="A15" s="52" t="s">
        <v>46</v>
      </c>
      <c r="B15" s="56" t="s">
        <v>57</v>
      </c>
      <c r="C15" s="45" t="s">
        <v>60</v>
      </c>
      <c r="D15" s="46">
        <v>1</v>
      </c>
      <c r="E15" s="46">
        <v>0.5</v>
      </c>
      <c r="F15" s="47">
        <v>1.5</v>
      </c>
    </row>
    <row r="16" spans="1:6" ht="22" customHeight="1" x14ac:dyDescent="0.2">
      <c r="A16" s="54" t="s">
        <v>46</v>
      </c>
      <c r="B16" s="55" t="s">
        <v>57</v>
      </c>
      <c r="C16" s="42" t="s">
        <v>61</v>
      </c>
      <c r="D16" s="43">
        <v>1</v>
      </c>
      <c r="E16" s="43">
        <v>0.5</v>
      </c>
      <c r="F16" s="44">
        <v>1.5</v>
      </c>
    </row>
    <row r="17" spans="1:6" ht="22" customHeight="1" x14ac:dyDescent="0.2">
      <c r="A17" s="52" t="s">
        <v>46</v>
      </c>
      <c r="B17" s="53" t="s">
        <v>62</v>
      </c>
      <c r="C17" s="45" t="s">
        <v>63</v>
      </c>
      <c r="D17" s="46">
        <v>1</v>
      </c>
      <c r="E17" s="46">
        <v>1.5</v>
      </c>
      <c r="F17" s="47">
        <v>2.5</v>
      </c>
    </row>
    <row r="18" spans="1:6" ht="22" customHeight="1" x14ac:dyDescent="0.2">
      <c r="A18" s="54" t="s">
        <v>46</v>
      </c>
      <c r="B18" s="55" t="s">
        <v>62</v>
      </c>
      <c r="C18" s="42" t="s">
        <v>64</v>
      </c>
      <c r="D18" s="43">
        <v>2</v>
      </c>
      <c r="E18" s="43">
        <v>1.5</v>
      </c>
      <c r="F18" s="44">
        <v>3.5</v>
      </c>
    </row>
    <row r="19" spans="1:6" ht="22" customHeight="1" x14ac:dyDescent="0.2">
      <c r="A19" s="52" t="s">
        <v>46</v>
      </c>
      <c r="B19" s="56" t="s">
        <v>62</v>
      </c>
      <c r="C19" s="45" t="s">
        <v>65</v>
      </c>
      <c r="D19" s="46">
        <v>1.5</v>
      </c>
      <c r="E19" s="46">
        <v>1.5</v>
      </c>
      <c r="F19" s="47">
        <v>3</v>
      </c>
    </row>
    <row r="20" spans="1:6" ht="22" customHeight="1" x14ac:dyDescent="0.2">
      <c r="A20" s="54" t="s">
        <v>46</v>
      </c>
      <c r="B20" s="55" t="s">
        <v>62</v>
      </c>
      <c r="C20" s="42" t="s">
        <v>66</v>
      </c>
      <c r="D20" s="43">
        <v>1</v>
      </c>
      <c r="E20" s="43">
        <v>1.5</v>
      </c>
      <c r="F20" s="44">
        <v>2.5</v>
      </c>
    </row>
    <row r="21" spans="1:6" ht="22" customHeight="1" x14ac:dyDescent="0.2">
      <c r="A21" s="52" t="s">
        <v>46</v>
      </c>
      <c r="B21" s="56" t="s">
        <v>62</v>
      </c>
      <c r="C21" s="45" t="s">
        <v>67</v>
      </c>
      <c r="D21" s="46">
        <v>1.5</v>
      </c>
      <c r="E21" s="46">
        <v>1</v>
      </c>
      <c r="F21" s="47">
        <v>2.5</v>
      </c>
    </row>
    <row r="22" spans="1:6" ht="22" customHeight="1" x14ac:dyDescent="0.2">
      <c r="A22" s="54" t="s">
        <v>46</v>
      </c>
      <c r="B22" s="57" t="s">
        <v>68</v>
      </c>
      <c r="C22" s="42" t="s">
        <v>69</v>
      </c>
      <c r="D22" s="43">
        <v>0.5</v>
      </c>
      <c r="E22" s="43">
        <v>1.5</v>
      </c>
      <c r="F22" s="44">
        <v>2</v>
      </c>
    </row>
    <row r="23" spans="1:6" ht="22" customHeight="1" x14ac:dyDescent="0.2">
      <c r="A23" s="52" t="s">
        <v>46</v>
      </c>
      <c r="B23" s="56" t="s">
        <v>68</v>
      </c>
      <c r="C23" s="45" t="s">
        <v>70</v>
      </c>
      <c r="D23" s="46">
        <v>1</v>
      </c>
      <c r="E23" s="46">
        <v>1.5</v>
      </c>
      <c r="F23" s="47">
        <v>2.5</v>
      </c>
    </row>
    <row r="24" spans="1:6" ht="22" customHeight="1" x14ac:dyDescent="0.2">
      <c r="A24" s="54" t="s">
        <v>46</v>
      </c>
      <c r="B24" s="55" t="s">
        <v>68</v>
      </c>
      <c r="C24" s="42" t="s">
        <v>71</v>
      </c>
      <c r="D24" s="43">
        <v>0.5</v>
      </c>
      <c r="E24" s="43">
        <v>1</v>
      </c>
      <c r="F24" s="44">
        <v>1.5</v>
      </c>
    </row>
    <row r="25" spans="1:6" ht="22" customHeight="1" x14ac:dyDescent="0.2">
      <c r="A25" s="52" t="s">
        <v>46</v>
      </c>
      <c r="B25" s="53" t="s">
        <v>72</v>
      </c>
      <c r="C25" s="45" t="s">
        <v>73</v>
      </c>
      <c r="D25" s="46">
        <v>1</v>
      </c>
      <c r="E25" s="46">
        <v>1.5</v>
      </c>
      <c r="F25" s="47">
        <v>2.5</v>
      </c>
    </row>
    <row r="26" spans="1:6" ht="22" customHeight="1" x14ac:dyDescent="0.2">
      <c r="A26" s="54" t="s">
        <v>46</v>
      </c>
      <c r="B26" s="55" t="s">
        <v>72</v>
      </c>
      <c r="C26" s="42" t="s">
        <v>74</v>
      </c>
      <c r="D26" s="43">
        <v>0.5</v>
      </c>
      <c r="E26" s="43">
        <v>0.5</v>
      </c>
      <c r="F26" s="44">
        <v>1</v>
      </c>
    </row>
    <row r="27" spans="1:6" ht="22" customHeight="1" x14ac:dyDescent="0.2">
      <c r="A27" s="52" t="s">
        <v>46</v>
      </c>
      <c r="B27" s="56" t="s">
        <v>72</v>
      </c>
      <c r="C27" s="45" t="s">
        <v>75</v>
      </c>
      <c r="D27" s="46">
        <v>1</v>
      </c>
      <c r="E27" s="46">
        <v>2</v>
      </c>
      <c r="F27" s="47">
        <v>3</v>
      </c>
    </row>
    <row r="28" spans="1:6" ht="22" customHeight="1" x14ac:dyDescent="0.2">
      <c r="A28" s="54" t="s">
        <v>46</v>
      </c>
      <c r="B28" s="55" t="s">
        <v>72</v>
      </c>
      <c r="C28" s="42" t="s">
        <v>76</v>
      </c>
      <c r="D28" s="43">
        <v>1.5</v>
      </c>
      <c r="E28" s="43">
        <v>1</v>
      </c>
      <c r="F28" s="44">
        <v>2.5</v>
      </c>
    </row>
    <row r="29" spans="1:6" ht="22" customHeight="1" x14ac:dyDescent="0.2">
      <c r="A29" s="52" t="s">
        <v>46</v>
      </c>
      <c r="B29" s="53" t="s">
        <v>77</v>
      </c>
      <c r="C29" s="45" t="s">
        <v>78</v>
      </c>
      <c r="D29" s="46">
        <v>1.5</v>
      </c>
      <c r="E29" s="46">
        <v>1</v>
      </c>
      <c r="F29" s="47">
        <v>2.5</v>
      </c>
    </row>
    <row r="30" spans="1:6" ht="22" customHeight="1" x14ac:dyDescent="0.2">
      <c r="A30" s="54" t="s">
        <v>46</v>
      </c>
      <c r="B30" s="55" t="s">
        <v>77</v>
      </c>
      <c r="C30" s="42" t="s">
        <v>79</v>
      </c>
      <c r="D30" s="43">
        <v>1.5</v>
      </c>
      <c r="E30" s="43">
        <v>1.5</v>
      </c>
      <c r="F30" s="44">
        <v>3</v>
      </c>
    </row>
    <row r="31" spans="1:6" ht="28" customHeight="1" x14ac:dyDescent="0.2">
      <c r="A31" s="62" t="s">
        <v>80</v>
      </c>
      <c r="B31" s="60"/>
      <c r="C31" s="60"/>
      <c r="D31" s="60"/>
      <c r="E31" s="60"/>
      <c r="F31" s="60"/>
    </row>
    <row r="32" spans="1:6" ht="22" customHeight="1" x14ac:dyDescent="0.2">
      <c r="A32" s="54" t="s">
        <v>81</v>
      </c>
      <c r="B32" s="57" t="s">
        <v>82</v>
      </c>
      <c r="C32" s="42" t="s">
        <v>83</v>
      </c>
      <c r="D32" s="43">
        <v>1.5</v>
      </c>
      <c r="E32" s="43">
        <v>0.5</v>
      </c>
      <c r="F32" s="44">
        <v>2</v>
      </c>
    </row>
    <row r="33" spans="1:6" ht="22" customHeight="1" x14ac:dyDescent="0.2">
      <c r="A33" s="52" t="s">
        <v>81</v>
      </c>
      <c r="B33" s="56" t="s">
        <v>82</v>
      </c>
      <c r="C33" s="45" t="s">
        <v>84</v>
      </c>
      <c r="D33" s="46">
        <v>1.5</v>
      </c>
      <c r="E33" s="46">
        <v>0.5</v>
      </c>
      <c r="F33" s="47">
        <v>2</v>
      </c>
    </row>
    <row r="34" spans="1:6" ht="22" customHeight="1" x14ac:dyDescent="0.2">
      <c r="A34" s="54" t="s">
        <v>81</v>
      </c>
      <c r="B34" s="55" t="s">
        <v>82</v>
      </c>
      <c r="C34" s="42" t="s">
        <v>85</v>
      </c>
      <c r="D34" s="43">
        <v>1</v>
      </c>
      <c r="E34" s="43">
        <v>0.5</v>
      </c>
      <c r="F34" s="44">
        <v>1.5</v>
      </c>
    </row>
    <row r="35" spans="1:6" ht="22" customHeight="1" x14ac:dyDescent="0.2">
      <c r="A35" s="52" t="s">
        <v>81</v>
      </c>
      <c r="B35" s="56" t="s">
        <v>82</v>
      </c>
      <c r="C35" s="45" t="s">
        <v>86</v>
      </c>
      <c r="D35" s="46">
        <v>1.5</v>
      </c>
      <c r="E35" s="46">
        <v>0.5</v>
      </c>
      <c r="F35" s="47">
        <v>2</v>
      </c>
    </row>
    <row r="36" spans="1:6" ht="22" customHeight="1" x14ac:dyDescent="0.2">
      <c r="A36" s="54" t="s">
        <v>81</v>
      </c>
      <c r="B36" s="57" t="s">
        <v>87</v>
      </c>
      <c r="C36" s="42" t="s">
        <v>88</v>
      </c>
      <c r="D36" s="43">
        <v>2</v>
      </c>
      <c r="E36" s="43">
        <v>1</v>
      </c>
      <c r="F36" s="44">
        <v>3</v>
      </c>
    </row>
    <row r="37" spans="1:6" ht="22" customHeight="1" x14ac:dyDescent="0.2">
      <c r="A37" s="52" t="s">
        <v>81</v>
      </c>
      <c r="B37" s="56" t="s">
        <v>87</v>
      </c>
      <c r="C37" s="45" t="s">
        <v>89</v>
      </c>
      <c r="D37" s="46">
        <v>1.5</v>
      </c>
      <c r="E37" s="46">
        <v>0.5</v>
      </c>
      <c r="F37" s="47">
        <v>2</v>
      </c>
    </row>
    <row r="38" spans="1:6" ht="22" customHeight="1" x14ac:dyDescent="0.2">
      <c r="A38" s="54" t="s">
        <v>81</v>
      </c>
      <c r="B38" s="55" t="s">
        <v>87</v>
      </c>
      <c r="C38" s="42" t="s">
        <v>90</v>
      </c>
      <c r="D38" s="43">
        <v>1</v>
      </c>
      <c r="E38" s="43">
        <v>0.5</v>
      </c>
      <c r="F38" s="44">
        <v>1.5</v>
      </c>
    </row>
    <row r="39" spans="1:6" ht="22" customHeight="1" x14ac:dyDescent="0.2">
      <c r="A39" s="52" t="s">
        <v>81</v>
      </c>
      <c r="B39" s="53" t="s">
        <v>91</v>
      </c>
      <c r="C39" s="45" t="s">
        <v>92</v>
      </c>
      <c r="D39" s="46">
        <v>2</v>
      </c>
      <c r="E39" s="46">
        <v>1.5</v>
      </c>
      <c r="F39" s="47">
        <v>3.5</v>
      </c>
    </row>
    <row r="40" spans="1:6" ht="22" customHeight="1" x14ac:dyDescent="0.2">
      <c r="A40" s="54" t="s">
        <v>81</v>
      </c>
      <c r="B40" s="55" t="s">
        <v>91</v>
      </c>
      <c r="C40" s="42" t="s">
        <v>93</v>
      </c>
      <c r="D40" s="43">
        <v>1.5</v>
      </c>
      <c r="E40" s="43">
        <v>0.5</v>
      </c>
      <c r="F40" s="44">
        <v>2</v>
      </c>
    </row>
    <row r="41" spans="1:6" ht="22" customHeight="1" x14ac:dyDescent="0.2">
      <c r="A41" s="52" t="s">
        <v>81</v>
      </c>
      <c r="B41" s="56" t="s">
        <v>91</v>
      </c>
      <c r="C41" s="45" t="s">
        <v>94</v>
      </c>
      <c r="D41" s="46">
        <v>1</v>
      </c>
      <c r="E41" s="46">
        <v>0.5</v>
      </c>
      <c r="F41" s="47">
        <v>1.5</v>
      </c>
    </row>
    <row r="42" spans="1:6" ht="22" customHeight="1" x14ac:dyDescent="0.2">
      <c r="A42" s="54" t="s">
        <v>81</v>
      </c>
      <c r="B42" s="55" t="s">
        <v>91</v>
      </c>
      <c r="C42" s="42" t="s">
        <v>95</v>
      </c>
      <c r="D42" s="43">
        <v>1.5</v>
      </c>
      <c r="E42" s="43">
        <v>0.5</v>
      </c>
      <c r="F42" s="44">
        <v>2</v>
      </c>
    </row>
    <row r="43" spans="1:6" ht="22" customHeight="1" x14ac:dyDescent="0.2">
      <c r="A43" s="52" t="s">
        <v>81</v>
      </c>
      <c r="B43" s="53" t="s">
        <v>96</v>
      </c>
      <c r="C43" s="45" t="s">
        <v>97</v>
      </c>
      <c r="D43" s="46">
        <v>1.5</v>
      </c>
      <c r="E43" s="46">
        <v>1</v>
      </c>
      <c r="F43" s="47">
        <v>2.5</v>
      </c>
    </row>
    <row r="44" spans="1:6" ht="22" customHeight="1" x14ac:dyDescent="0.2">
      <c r="A44" s="54" t="s">
        <v>81</v>
      </c>
      <c r="B44" s="55" t="s">
        <v>96</v>
      </c>
      <c r="C44" s="42" t="s">
        <v>98</v>
      </c>
      <c r="D44" s="43">
        <v>1</v>
      </c>
      <c r="E44" s="43">
        <v>0.5</v>
      </c>
      <c r="F44" s="44">
        <v>1.5</v>
      </c>
    </row>
    <row r="45" spans="1:6" ht="22" customHeight="1" x14ac:dyDescent="0.2">
      <c r="A45" s="52" t="s">
        <v>81</v>
      </c>
      <c r="B45" s="56" t="s">
        <v>96</v>
      </c>
      <c r="C45" s="45" t="s">
        <v>99</v>
      </c>
      <c r="D45" s="46">
        <v>1</v>
      </c>
      <c r="E45" s="46">
        <v>0.5</v>
      </c>
      <c r="F45" s="47">
        <v>1.5</v>
      </c>
    </row>
    <row r="46" spans="1:6" ht="22" customHeight="1" x14ac:dyDescent="0.2">
      <c r="A46" s="54" t="s">
        <v>81</v>
      </c>
      <c r="B46" s="55" t="s">
        <v>96</v>
      </c>
      <c r="C46" s="42" t="s">
        <v>100</v>
      </c>
      <c r="D46" s="43">
        <v>1</v>
      </c>
      <c r="E46" s="43">
        <v>0.5</v>
      </c>
      <c r="F46" s="44">
        <v>1.5</v>
      </c>
    </row>
    <row r="47" spans="1:6" ht="22" customHeight="1" x14ac:dyDescent="0.2">
      <c r="A47" s="52" t="s">
        <v>81</v>
      </c>
      <c r="B47" s="53" t="s">
        <v>101</v>
      </c>
      <c r="C47" s="45" t="s">
        <v>102</v>
      </c>
      <c r="D47" s="46">
        <v>2</v>
      </c>
      <c r="E47" s="46">
        <v>1</v>
      </c>
      <c r="F47" s="47">
        <v>3</v>
      </c>
    </row>
    <row r="48" spans="1:6" ht="22" customHeight="1" x14ac:dyDescent="0.2">
      <c r="A48" s="54" t="s">
        <v>81</v>
      </c>
      <c r="B48" s="55" t="s">
        <v>101</v>
      </c>
      <c r="C48" s="42" t="s">
        <v>103</v>
      </c>
      <c r="D48" s="43">
        <v>1.5</v>
      </c>
      <c r="E48" s="43">
        <v>1</v>
      </c>
      <c r="F48" s="44">
        <v>2.5</v>
      </c>
    </row>
    <row r="49" spans="1:6" ht="22" customHeight="1" x14ac:dyDescent="0.2">
      <c r="A49" s="52" t="s">
        <v>81</v>
      </c>
      <c r="B49" s="53" t="s">
        <v>104</v>
      </c>
      <c r="C49" s="45" t="s">
        <v>105</v>
      </c>
      <c r="D49" s="46">
        <v>1</v>
      </c>
      <c r="E49" s="46">
        <v>0.5</v>
      </c>
      <c r="F49" s="47">
        <v>1.5</v>
      </c>
    </row>
    <row r="50" spans="1:6" ht="22" customHeight="1" x14ac:dyDescent="0.2">
      <c r="A50" s="54" t="s">
        <v>81</v>
      </c>
      <c r="B50" s="55" t="s">
        <v>104</v>
      </c>
      <c r="C50" s="42" t="s">
        <v>106</v>
      </c>
      <c r="D50" s="43">
        <v>1</v>
      </c>
      <c r="E50" s="43">
        <v>0.5</v>
      </c>
      <c r="F50" s="44">
        <v>1.5</v>
      </c>
    </row>
    <row r="51" spans="1:6" ht="22" customHeight="1" x14ac:dyDescent="0.2">
      <c r="A51" s="52" t="s">
        <v>81</v>
      </c>
      <c r="B51" s="56" t="s">
        <v>104</v>
      </c>
      <c r="C51" s="45" t="s">
        <v>107</v>
      </c>
      <c r="D51" s="46">
        <v>1</v>
      </c>
      <c r="E51" s="46">
        <v>0.5</v>
      </c>
      <c r="F51" s="47">
        <v>1.5</v>
      </c>
    </row>
    <row r="52" spans="1:6" ht="22" customHeight="1" x14ac:dyDescent="0.2">
      <c r="A52" s="54" t="s">
        <v>81</v>
      </c>
      <c r="B52" s="57" t="s">
        <v>108</v>
      </c>
      <c r="C52" s="42" t="s">
        <v>109</v>
      </c>
      <c r="D52" s="43">
        <v>1.5</v>
      </c>
      <c r="E52" s="43">
        <v>0.5</v>
      </c>
      <c r="F52" s="44">
        <v>2</v>
      </c>
    </row>
    <row r="53" spans="1:6" ht="22" customHeight="1" x14ac:dyDescent="0.2">
      <c r="A53" s="52" t="s">
        <v>81</v>
      </c>
      <c r="B53" s="56" t="s">
        <v>108</v>
      </c>
      <c r="C53" s="45" t="s">
        <v>110</v>
      </c>
      <c r="D53" s="46">
        <v>1.5</v>
      </c>
      <c r="E53" s="46">
        <v>1</v>
      </c>
      <c r="F53" s="47">
        <v>2.5</v>
      </c>
    </row>
    <row r="54" spans="1:6" ht="22" customHeight="1" x14ac:dyDescent="0.2">
      <c r="A54" s="54" t="s">
        <v>81</v>
      </c>
      <c r="B54" s="55" t="s">
        <v>108</v>
      </c>
      <c r="C54" s="42" t="s">
        <v>111</v>
      </c>
      <c r="D54" s="43">
        <v>1.5</v>
      </c>
      <c r="E54" s="43">
        <v>0.5</v>
      </c>
      <c r="F54" s="44">
        <v>2</v>
      </c>
    </row>
    <row r="55" spans="1:6" ht="22" customHeight="1" x14ac:dyDescent="0.2">
      <c r="A55" s="52" t="s">
        <v>81</v>
      </c>
      <c r="B55" s="56" t="s">
        <v>108</v>
      </c>
      <c r="C55" s="45" t="s">
        <v>112</v>
      </c>
      <c r="D55" s="46">
        <v>1</v>
      </c>
      <c r="E55" s="46">
        <v>0.5</v>
      </c>
      <c r="F55" s="47">
        <v>1.5</v>
      </c>
    </row>
    <row r="56" spans="1:6" ht="22" customHeight="1" x14ac:dyDescent="0.2">
      <c r="A56" s="54" t="s">
        <v>81</v>
      </c>
      <c r="B56" s="55" t="s">
        <v>108</v>
      </c>
      <c r="C56" s="42" t="s">
        <v>113</v>
      </c>
      <c r="D56" s="43">
        <v>1</v>
      </c>
      <c r="E56" s="43">
        <v>0.5</v>
      </c>
      <c r="F56" s="44">
        <v>1.5</v>
      </c>
    </row>
    <row r="57" spans="1:6" ht="22" customHeight="1" x14ac:dyDescent="0.2">
      <c r="A57" s="52" t="s">
        <v>81</v>
      </c>
      <c r="B57" s="53" t="s">
        <v>114</v>
      </c>
      <c r="C57" s="45" t="s">
        <v>115</v>
      </c>
      <c r="D57" s="46">
        <v>1.5</v>
      </c>
      <c r="E57" s="46">
        <v>0.5</v>
      </c>
      <c r="F57" s="47">
        <v>2</v>
      </c>
    </row>
    <row r="58" spans="1:6" ht="22" customHeight="1" x14ac:dyDescent="0.2">
      <c r="A58" s="54" t="s">
        <v>81</v>
      </c>
      <c r="B58" s="55" t="s">
        <v>114</v>
      </c>
      <c r="C58" s="42" t="s">
        <v>116</v>
      </c>
      <c r="D58" s="43">
        <v>1</v>
      </c>
      <c r="E58" s="43">
        <v>1</v>
      </c>
      <c r="F58" s="44">
        <v>2</v>
      </c>
    </row>
    <row r="59" spans="1:6" ht="22" customHeight="1" thickBot="1" x14ac:dyDescent="0.25">
      <c r="A59" s="52" t="s">
        <v>81</v>
      </c>
      <c r="B59" s="56" t="s">
        <v>114</v>
      </c>
      <c r="C59" s="45" t="s">
        <v>117</v>
      </c>
      <c r="D59" s="46">
        <v>0.5</v>
      </c>
      <c r="E59" s="46">
        <v>1</v>
      </c>
      <c r="F59" s="47">
        <v>1.5</v>
      </c>
    </row>
    <row r="60" spans="1:6" ht="28" customHeight="1" thickBot="1" x14ac:dyDescent="0.3">
      <c r="A60" s="58" t="s">
        <v>118</v>
      </c>
      <c r="B60" s="48" t="s">
        <v>119</v>
      </c>
      <c r="C60" s="49" t="s">
        <v>120</v>
      </c>
      <c r="D60" s="50">
        <v>71.5</v>
      </c>
      <c r="E60" s="50">
        <v>49.5</v>
      </c>
      <c r="F60" s="51">
        <v>121</v>
      </c>
    </row>
  </sheetData>
  <mergeCells count="3">
    <mergeCell ref="A1:E1"/>
    <mergeCell ref="A4:F4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"/>
  <sheetViews>
    <sheetView tabSelected="1" zoomScale="142" workbookViewId="0">
      <pane ySplit="4" topLeftCell="A28" activePane="bottomLeft" state="frozen"/>
      <selection pane="bottomLeft" activeCell="B23" sqref="B23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3" width="26" customWidth="1"/>
    <col min="4" max="4" width="36" customWidth="1"/>
    <col min="5" max="5" width="42" customWidth="1"/>
    <col min="6" max="6" width="55" customWidth="1"/>
    <col min="7" max="7" width="45" customWidth="1"/>
    <col min="8" max="8" width="12" customWidth="1"/>
    <col min="9" max="9" width="14" customWidth="1"/>
  </cols>
  <sheetData>
    <row r="1" spans="1:9" ht="23" customHeight="1" x14ac:dyDescent="0.2">
      <c r="A1" s="59" t="s">
        <v>121</v>
      </c>
      <c r="B1" s="60"/>
      <c r="C1" s="60"/>
      <c r="D1" s="60"/>
      <c r="E1" s="60"/>
      <c r="F1" s="60"/>
      <c r="G1" s="60"/>
      <c r="H1" s="60"/>
      <c r="I1" s="60"/>
    </row>
    <row r="2" spans="1:9" x14ac:dyDescent="0.2">
      <c r="A2" s="61" t="s">
        <v>122</v>
      </c>
      <c r="B2" s="60"/>
      <c r="C2" s="60"/>
      <c r="D2" s="60"/>
      <c r="E2" s="60"/>
      <c r="F2" s="60"/>
      <c r="G2" s="60"/>
      <c r="H2" s="60"/>
      <c r="I2" s="60"/>
    </row>
    <row r="4" spans="1:9" ht="28" customHeight="1" x14ac:dyDescent="0.2">
      <c r="A4" s="1" t="s">
        <v>123</v>
      </c>
      <c r="B4" s="2" t="s">
        <v>124</v>
      </c>
      <c r="C4" s="2" t="s">
        <v>125</v>
      </c>
      <c r="D4" s="2" t="s">
        <v>126</v>
      </c>
      <c r="E4" s="2" t="s">
        <v>127</v>
      </c>
      <c r="F4" s="2" t="s">
        <v>128</v>
      </c>
      <c r="G4" s="2" t="s">
        <v>129</v>
      </c>
      <c r="H4" s="1" t="s">
        <v>130</v>
      </c>
      <c r="I4" s="1" t="s">
        <v>131</v>
      </c>
    </row>
    <row r="5" spans="1:9" ht="24" customHeight="1" x14ac:dyDescent="0.2">
      <c r="A5" s="3">
        <v>1</v>
      </c>
      <c r="B5" s="4" t="s">
        <v>52</v>
      </c>
      <c r="C5" s="5" t="s">
        <v>132</v>
      </c>
      <c r="D5" s="6" t="s">
        <v>133</v>
      </c>
      <c r="E5" s="7" t="s">
        <v>134</v>
      </c>
      <c r="F5" s="7" t="s">
        <v>135</v>
      </c>
      <c r="G5" s="7" t="s">
        <v>136</v>
      </c>
      <c r="H5" s="8" t="s">
        <v>137</v>
      </c>
      <c r="I5" s="9" t="s">
        <v>138</v>
      </c>
    </row>
    <row r="6" spans="1:9" ht="24" customHeight="1" x14ac:dyDescent="0.2">
      <c r="A6" s="10">
        <v>2</v>
      </c>
      <c r="B6" s="11" t="s">
        <v>52</v>
      </c>
      <c r="C6" s="12" t="s">
        <v>132</v>
      </c>
      <c r="D6" s="13" t="s">
        <v>139</v>
      </c>
      <c r="E6" s="14" t="s">
        <v>140</v>
      </c>
      <c r="F6" s="14" t="s">
        <v>141</v>
      </c>
      <c r="G6" s="14" t="s">
        <v>142</v>
      </c>
      <c r="H6" s="15" t="s">
        <v>137</v>
      </c>
      <c r="I6" s="16" t="s">
        <v>138</v>
      </c>
    </row>
    <row r="7" spans="1:9" ht="24" customHeight="1" x14ac:dyDescent="0.2">
      <c r="A7" s="3">
        <v>3</v>
      </c>
      <c r="B7" s="4" t="s">
        <v>52</v>
      </c>
      <c r="C7" s="5" t="s">
        <v>132</v>
      </c>
      <c r="D7" s="6" t="s">
        <v>143</v>
      </c>
      <c r="E7" s="7" t="s">
        <v>144</v>
      </c>
      <c r="F7" s="7" t="s">
        <v>145</v>
      </c>
      <c r="G7" s="7" t="s">
        <v>146</v>
      </c>
      <c r="H7" s="8" t="s">
        <v>137</v>
      </c>
      <c r="I7" s="17" t="s">
        <v>147</v>
      </c>
    </row>
    <row r="8" spans="1:9" ht="24" customHeight="1" x14ac:dyDescent="0.2">
      <c r="A8" s="10">
        <v>4</v>
      </c>
      <c r="B8" s="11" t="s">
        <v>52</v>
      </c>
      <c r="C8" s="12" t="s">
        <v>132</v>
      </c>
      <c r="D8" s="13" t="s">
        <v>148</v>
      </c>
      <c r="E8" s="14" t="s">
        <v>149</v>
      </c>
      <c r="F8" s="14" t="s">
        <v>150</v>
      </c>
      <c r="G8" s="14" t="s">
        <v>151</v>
      </c>
      <c r="H8" s="18" t="s">
        <v>152</v>
      </c>
      <c r="I8" s="16" t="s">
        <v>138</v>
      </c>
    </row>
    <row r="9" spans="1:9" ht="24" customHeight="1" x14ac:dyDescent="0.2">
      <c r="A9" s="3">
        <v>5</v>
      </c>
      <c r="B9" s="4" t="s">
        <v>52</v>
      </c>
      <c r="C9" s="5" t="s">
        <v>132</v>
      </c>
      <c r="D9" s="6" t="s">
        <v>153</v>
      </c>
      <c r="E9" s="7" t="s">
        <v>154</v>
      </c>
      <c r="F9" s="7" t="s">
        <v>155</v>
      </c>
      <c r="G9" s="7" t="s">
        <v>156</v>
      </c>
      <c r="H9" s="19" t="s">
        <v>152</v>
      </c>
      <c r="I9" s="9" t="s">
        <v>138</v>
      </c>
    </row>
    <row r="10" spans="1:9" ht="24" customHeight="1" x14ac:dyDescent="0.2">
      <c r="A10" s="10">
        <v>6</v>
      </c>
      <c r="B10" s="11" t="s">
        <v>52</v>
      </c>
      <c r="C10" s="12" t="s">
        <v>132</v>
      </c>
      <c r="D10" s="13" t="s">
        <v>157</v>
      </c>
      <c r="E10" s="14" t="s">
        <v>158</v>
      </c>
      <c r="F10" s="14" t="s">
        <v>159</v>
      </c>
      <c r="G10" s="14" t="s">
        <v>160</v>
      </c>
      <c r="H10" s="18" t="s">
        <v>152</v>
      </c>
      <c r="I10" s="16" t="s">
        <v>138</v>
      </c>
    </row>
    <row r="11" spans="1:9" ht="24" customHeight="1" x14ac:dyDescent="0.2">
      <c r="A11" s="3">
        <v>7</v>
      </c>
      <c r="B11" s="4" t="s">
        <v>52</v>
      </c>
      <c r="C11" s="5" t="s">
        <v>132</v>
      </c>
      <c r="D11" s="6" t="s">
        <v>161</v>
      </c>
      <c r="E11" s="7" t="s">
        <v>162</v>
      </c>
      <c r="F11" s="7" t="s">
        <v>163</v>
      </c>
      <c r="G11" s="7" t="s">
        <v>164</v>
      </c>
      <c r="H11" s="8" t="s">
        <v>137</v>
      </c>
      <c r="I11" s="9" t="s">
        <v>138</v>
      </c>
    </row>
    <row r="12" spans="1:9" ht="24" customHeight="1" x14ac:dyDescent="0.2">
      <c r="A12" s="10">
        <v>8</v>
      </c>
      <c r="B12" s="11" t="s">
        <v>52</v>
      </c>
      <c r="C12" s="12" t="s">
        <v>165</v>
      </c>
      <c r="D12" s="13" t="s">
        <v>166</v>
      </c>
      <c r="E12" s="14" t="s">
        <v>167</v>
      </c>
      <c r="F12" s="14" t="s">
        <v>168</v>
      </c>
      <c r="G12" s="14" t="s">
        <v>169</v>
      </c>
      <c r="H12" s="18" t="s">
        <v>152</v>
      </c>
      <c r="I12" s="20" t="s">
        <v>170</v>
      </c>
    </row>
    <row r="13" spans="1:9" ht="24" customHeight="1" x14ac:dyDescent="0.2">
      <c r="A13" s="3">
        <v>9</v>
      </c>
      <c r="B13" s="4" t="s">
        <v>52</v>
      </c>
      <c r="C13" s="5" t="s">
        <v>171</v>
      </c>
      <c r="D13" s="6" t="s">
        <v>172</v>
      </c>
      <c r="E13" s="7" t="s">
        <v>173</v>
      </c>
      <c r="F13" s="7" t="s">
        <v>174</v>
      </c>
      <c r="G13" s="7" t="s">
        <v>175</v>
      </c>
      <c r="H13" s="8" t="s">
        <v>137</v>
      </c>
      <c r="I13" s="9" t="s">
        <v>138</v>
      </c>
    </row>
    <row r="14" spans="1:9" ht="24" customHeight="1" x14ac:dyDescent="0.2">
      <c r="A14" s="10">
        <v>10</v>
      </c>
      <c r="B14" s="11" t="s">
        <v>52</v>
      </c>
      <c r="C14" s="12" t="s">
        <v>171</v>
      </c>
      <c r="D14" s="13" t="s">
        <v>176</v>
      </c>
      <c r="E14" s="14" t="s">
        <v>177</v>
      </c>
      <c r="F14" s="14" t="s">
        <v>178</v>
      </c>
      <c r="G14" s="14" t="s">
        <v>179</v>
      </c>
      <c r="H14" s="15" t="s">
        <v>137</v>
      </c>
      <c r="I14" s="16" t="s">
        <v>138</v>
      </c>
    </row>
    <row r="15" spans="1:9" ht="24" customHeight="1" x14ac:dyDescent="0.2">
      <c r="A15" s="3">
        <v>11</v>
      </c>
      <c r="B15" s="4" t="s">
        <v>52</v>
      </c>
      <c r="C15" s="5" t="s">
        <v>171</v>
      </c>
      <c r="D15" s="6" t="s">
        <v>180</v>
      </c>
      <c r="E15" s="7" t="s">
        <v>181</v>
      </c>
      <c r="F15" s="7" t="s">
        <v>182</v>
      </c>
      <c r="G15" s="7" t="s">
        <v>183</v>
      </c>
      <c r="H15" s="8" t="s">
        <v>137</v>
      </c>
      <c r="I15" s="17" t="s">
        <v>147</v>
      </c>
    </row>
    <row r="16" spans="1:9" ht="24" customHeight="1" x14ac:dyDescent="0.2">
      <c r="A16" s="10">
        <v>12</v>
      </c>
      <c r="B16" s="11" t="s">
        <v>52</v>
      </c>
      <c r="C16" s="12" t="s">
        <v>171</v>
      </c>
      <c r="D16" s="13" t="s">
        <v>184</v>
      </c>
      <c r="E16" s="14" t="s">
        <v>185</v>
      </c>
      <c r="F16" s="14" t="s">
        <v>186</v>
      </c>
      <c r="G16" s="14" t="s">
        <v>187</v>
      </c>
      <c r="H16" s="15" t="s">
        <v>137</v>
      </c>
      <c r="I16" s="16" t="s">
        <v>138</v>
      </c>
    </row>
    <row r="17" spans="1:9" ht="24" customHeight="1" x14ac:dyDescent="0.2">
      <c r="A17" s="3">
        <v>13</v>
      </c>
      <c r="B17" s="4" t="s">
        <v>52</v>
      </c>
      <c r="C17" s="5" t="s">
        <v>171</v>
      </c>
      <c r="D17" s="6" t="s">
        <v>188</v>
      </c>
      <c r="E17" s="7" t="s">
        <v>189</v>
      </c>
      <c r="F17" s="7" t="s">
        <v>190</v>
      </c>
      <c r="G17" s="7" t="s">
        <v>191</v>
      </c>
      <c r="H17" s="8" t="s">
        <v>137</v>
      </c>
      <c r="I17" s="9" t="s">
        <v>138</v>
      </c>
    </row>
    <row r="18" spans="1:9" ht="24" customHeight="1" x14ac:dyDescent="0.2">
      <c r="A18" s="10">
        <v>14</v>
      </c>
      <c r="B18" s="11" t="s">
        <v>52</v>
      </c>
      <c r="C18" s="12" t="s">
        <v>171</v>
      </c>
      <c r="D18" s="13" t="s">
        <v>192</v>
      </c>
      <c r="E18" s="14" t="s">
        <v>193</v>
      </c>
      <c r="F18" s="14" t="s">
        <v>194</v>
      </c>
      <c r="G18" s="14" t="s">
        <v>195</v>
      </c>
      <c r="H18" s="15" t="s">
        <v>137</v>
      </c>
      <c r="I18" s="21" t="s">
        <v>147</v>
      </c>
    </row>
    <row r="19" spans="1:9" ht="24" customHeight="1" x14ac:dyDescent="0.2">
      <c r="A19" s="3">
        <v>15</v>
      </c>
      <c r="B19" s="4" t="s">
        <v>52</v>
      </c>
      <c r="C19" s="5" t="s">
        <v>171</v>
      </c>
      <c r="D19" s="6" t="s">
        <v>196</v>
      </c>
      <c r="E19" s="7" t="s">
        <v>197</v>
      </c>
      <c r="F19" s="7" t="s">
        <v>198</v>
      </c>
      <c r="G19" s="7" t="s">
        <v>199</v>
      </c>
      <c r="H19" s="8" t="s">
        <v>137</v>
      </c>
      <c r="I19" s="9" t="s">
        <v>138</v>
      </c>
    </row>
    <row r="20" spans="1:9" ht="24" customHeight="1" x14ac:dyDescent="0.2">
      <c r="A20" s="10">
        <v>16</v>
      </c>
      <c r="B20" s="11" t="s">
        <v>52</v>
      </c>
      <c r="C20" s="12" t="s">
        <v>200</v>
      </c>
      <c r="D20" s="13" t="s">
        <v>201</v>
      </c>
      <c r="E20" s="14" t="s">
        <v>202</v>
      </c>
      <c r="F20" s="14" t="s">
        <v>203</v>
      </c>
      <c r="G20" s="14" t="s">
        <v>204</v>
      </c>
      <c r="H20" s="18" t="s">
        <v>152</v>
      </c>
      <c r="I20" s="21" t="s">
        <v>147</v>
      </c>
    </row>
    <row r="21" spans="1:9" ht="24" customHeight="1" x14ac:dyDescent="0.2">
      <c r="A21" s="3">
        <v>17</v>
      </c>
      <c r="B21" s="4" t="s">
        <v>52</v>
      </c>
      <c r="C21" s="5" t="s">
        <v>205</v>
      </c>
      <c r="D21" s="6" t="s">
        <v>206</v>
      </c>
      <c r="E21" s="7" t="s">
        <v>207</v>
      </c>
      <c r="F21" s="7" t="s">
        <v>208</v>
      </c>
      <c r="G21" s="7" t="s">
        <v>209</v>
      </c>
      <c r="H21" s="8" t="s">
        <v>137</v>
      </c>
      <c r="I21" s="9" t="s">
        <v>138</v>
      </c>
    </row>
    <row r="22" spans="1:9" ht="24" customHeight="1" x14ac:dyDescent="0.2">
      <c r="A22" s="10">
        <v>18</v>
      </c>
      <c r="B22" s="11" t="s">
        <v>52</v>
      </c>
      <c r="C22" s="12" t="s">
        <v>210</v>
      </c>
      <c r="D22" s="13" t="s">
        <v>211</v>
      </c>
      <c r="E22" s="14" t="s">
        <v>212</v>
      </c>
      <c r="F22" s="14" t="s">
        <v>213</v>
      </c>
      <c r="G22" s="14" t="s">
        <v>214</v>
      </c>
      <c r="H22" s="18" t="s">
        <v>152</v>
      </c>
      <c r="I22" s="16" t="s">
        <v>138</v>
      </c>
    </row>
    <row r="23" spans="1:9" ht="24" customHeight="1" x14ac:dyDescent="0.2">
      <c r="A23" s="3">
        <v>19</v>
      </c>
      <c r="B23" s="4" t="s">
        <v>215</v>
      </c>
      <c r="C23" s="5" t="s">
        <v>216</v>
      </c>
      <c r="D23" s="6" t="s">
        <v>217</v>
      </c>
      <c r="E23" s="7" t="s">
        <v>218</v>
      </c>
      <c r="F23" s="7" t="s">
        <v>219</v>
      </c>
      <c r="G23" s="7" t="s">
        <v>220</v>
      </c>
      <c r="H23" s="8" t="s">
        <v>137</v>
      </c>
      <c r="I23" s="9" t="s">
        <v>138</v>
      </c>
    </row>
    <row r="24" spans="1:9" ht="24" customHeight="1" x14ac:dyDescent="0.2">
      <c r="A24" s="10">
        <v>20</v>
      </c>
      <c r="B24" s="11" t="s">
        <v>215</v>
      </c>
      <c r="C24" s="12" t="s">
        <v>221</v>
      </c>
      <c r="D24" s="13" t="s">
        <v>222</v>
      </c>
      <c r="E24" s="14" t="s">
        <v>223</v>
      </c>
      <c r="F24" s="14" t="s">
        <v>224</v>
      </c>
      <c r="G24" s="14" t="s">
        <v>225</v>
      </c>
      <c r="H24" s="15" t="s">
        <v>137</v>
      </c>
      <c r="I24" s="16" t="s">
        <v>138</v>
      </c>
    </row>
    <row r="25" spans="1:9" ht="24" customHeight="1" x14ac:dyDescent="0.2">
      <c r="A25" s="3">
        <v>21</v>
      </c>
      <c r="B25" s="4" t="s">
        <v>215</v>
      </c>
      <c r="C25" s="5" t="s">
        <v>226</v>
      </c>
      <c r="D25" s="6" t="s">
        <v>227</v>
      </c>
      <c r="E25" s="7" t="s">
        <v>228</v>
      </c>
      <c r="F25" s="7" t="s">
        <v>229</v>
      </c>
      <c r="G25" s="7" t="s">
        <v>230</v>
      </c>
      <c r="H25" s="19" t="s">
        <v>152</v>
      </c>
      <c r="I25" s="9" t="s">
        <v>138</v>
      </c>
    </row>
    <row r="26" spans="1:9" ht="24" customHeight="1" x14ac:dyDescent="0.2">
      <c r="A26" s="10">
        <v>22</v>
      </c>
      <c r="B26" s="11" t="s">
        <v>215</v>
      </c>
      <c r="C26" s="12" t="s">
        <v>231</v>
      </c>
      <c r="D26" s="13" t="s">
        <v>232</v>
      </c>
      <c r="E26" s="14" t="s">
        <v>233</v>
      </c>
      <c r="F26" s="14" t="s">
        <v>234</v>
      </c>
      <c r="G26" s="14" t="s">
        <v>235</v>
      </c>
      <c r="H26" s="15" t="s">
        <v>137</v>
      </c>
      <c r="I26" s="16" t="s">
        <v>138</v>
      </c>
    </row>
    <row r="27" spans="1:9" ht="24" customHeight="1" x14ac:dyDescent="0.2">
      <c r="A27" s="3">
        <v>23</v>
      </c>
      <c r="B27" s="4" t="s">
        <v>215</v>
      </c>
      <c r="C27" s="5" t="s">
        <v>231</v>
      </c>
      <c r="D27" s="6" t="s">
        <v>236</v>
      </c>
      <c r="E27" s="7" t="s">
        <v>237</v>
      </c>
      <c r="F27" s="7" t="s">
        <v>238</v>
      </c>
      <c r="G27" s="7" t="s">
        <v>239</v>
      </c>
      <c r="H27" s="8" t="s">
        <v>137</v>
      </c>
      <c r="I27" s="9" t="s">
        <v>138</v>
      </c>
    </row>
    <row r="28" spans="1:9" ht="24" customHeight="1" x14ac:dyDescent="0.2">
      <c r="A28" s="10">
        <v>24</v>
      </c>
      <c r="B28" s="11" t="s">
        <v>215</v>
      </c>
      <c r="C28" s="12" t="s">
        <v>231</v>
      </c>
      <c r="D28" s="13" t="s">
        <v>240</v>
      </c>
      <c r="E28" s="14" t="s">
        <v>241</v>
      </c>
      <c r="F28" s="14" t="s">
        <v>242</v>
      </c>
      <c r="G28" s="14" t="s">
        <v>243</v>
      </c>
      <c r="H28" s="15" t="s">
        <v>137</v>
      </c>
      <c r="I28" s="16" t="s">
        <v>138</v>
      </c>
    </row>
    <row r="29" spans="1:9" ht="24" customHeight="1" x14ac:dyDescent="0.2">
      <c r="A29" s="3">
        <v>25</v>
      </c>
      <c r="B29" s="4" t="s">
        <v>215</v>
      </c>
      <c r="C29" s="5" t="s">
        <v>231</v>
      </c>
      <c r="D29" s="6" t="s">
        <v>244</v>
      </c>
      <c r="E29" s="7" t="s">
        <v>245</v>
      </c>
      <c r="F29" s="7" t="s">
        <v>246</v>
      </c>
      <c r="G29" s="7" t="s">
        <v>247</v>
      </c>
      <c r="H29" s="8" t="s">
        <v>137</v>
      </c>
      <c r="I29" s="9" t="s">
        <v>138</v>
      </c>
    </row>
    <row r="30" spans="1:9" ht="24" customHeight="1" x14ac:dyDescent="0.2">
      <c r="A30" s="10">
        <v>26</v>
      </c>
      <c r="B30" s="11" t="s">
        <v>215</v>
      </c>
      <c r="C30" s="12" t="s">
        <v>231</v>
      </c>
      <c r="D30" s="13" t="s">
        <v>248</v>
      </c>
      <c r="E30" s="14" t="s">
        <v>249</v>
      </c>
      <c r="F30" s="14" t="s">
        <v>250</v>
      </c>
      <c r="G30" s="14" t="s">
        <v>251</v>
      </c>
      <c r="H30" s="15" t="s">
        <v>137</v>
      </c>
      <c r="I30" s="16" t="s">
        <v>138</v>
      </c>
    </row>
    <row r="31" spans="1:9" ht="24" customHeight="1" x14ac:dyDescent="0.2">
      <c r="A31" s="3">
        <v>27</v>
      </c>
      <c r="B31" s="4" t="s">
        <v>215</v>
      </c>
      <c r="C31" s="5" t="s">
        <v>231</v>
      </c>
      <c r="D31" s="6" t="s">
        <v>252</v>
      </c>
      <c r="E31" s="7" t="s">
        <v>253</v>
      </c>
      <c r="F31" s="7" t="s">
        <v>254</v>
      </c>
      <c r="G31" s="7" t="s">
        <v>255</v>
      </c>
      <c r="H31" s="8" t="s">
        <v>137</v>
      </c>
      <c r="I31" s="9" t="s">
        <v>138</v>
      </c>
    </row>
    <row r="32" spans="1:9" ht="24" customHeight="1" x14ac:dyDescent="0.2">
      <c r="A32" s="10">
        <v>28</v>
      </c>
      <c r="B32" s="11" t="s">
        <v>215</v>
      </c>
      <c r="C32" s="12" t="s">
        <v>231</v>
      </c>
      <c r="D32" s="13" t="s">
        <v>256</v>
      </c>
      <c r="E32" s="14" t="s">
        <v>257</v>
      </c>
      <c r="F32" s="14" t="s">
        <v>258</v>
      </c>
      <c r="G32" s="14" t="s">
        <v>259</v>
      </c>
      <c r="H32" s="15" t="s">
        <v>137</v>
      </c>
      <c r="I32" s="21" t="s">
        <v>147</v>
      </c>
    </row>
    <row r="33" spans="1:9" ht="24" customHeight="1" x14ac:dyDescent="0.2">
      <c r="A33" s="3">
        <v>29</v>
      </c>
      <c r="B33" s="4" t="s">
        <v>215</v>
      </c>
      <c r="C33" s="5" t="s">
        <v>231</v>
      </c>
      <c r="D33" s="6" t="s">
        <v>260</v>
      </c>
      <c r="E33" s="7" t="s">
        <v>261</v>
      </c>
      <c r="F33" s="7" t="s">
        <v>262</v>
      </c>
      <c r="G33" s="7" t="s">
        <v>263</v>
      </c>
      <c r="H33" s="19" t="s">
        <v>152</v>
      </c>
      <c r="I33" s="9" t="s">
        <v>138</v>
      </c>
    </row>
    <row r="34" spans="1:9" ht="24" customHeight="1" x14ac:dyDescent="0.2">
      <c r="A34" s="10">
        <v>30</v>
      </c>
      <c r="B34" s="11" t="s">
        <v>215</v>
      </c>
      <c r="C34" s="12" t="s">
        <v>264</v>
      </c>
      <c r="D34" s="13" t="s">
        <v>265</v>
      </c>
      <c r="E34" s="14" t="s">
        <v>266</v>
      </c>
      <c r="F34" s="14" t="s">
        <v>267</v>
      </c>
      <c r="G34" s="14" t="s">
        <v>268</v>
      </c>
      <c r="H34" s="15" t="s">
        <v>137</v>
      </c>
      <c r="I34" s="16" t="s">
        <v>138</v>
      </c>
    </row>
    <row r="35" spans="1:9" ht="24" customHeight="1" x14ac:dyDescent="0.2">
      <c r="A35" s="3">
        <v>31</v>
      </c>
      <c r="B35" s="4" t="s">
        <v>91</v>
      </c>
      <c r="C35" s="5" t="s">
        <v>269</v>
      </c>
      <c r="D35" s="6" t="s">
        <v>270</v>
      </c>
      <c r="E35" s="7" t="s">
        <v>271</v>
      </c>
      <c r="F35" s="7" t="s">
        <v>272</v>
      </c>
      <c r="G35" s="7" t="s">
        <v>273</v>
      </c>
      <c r="H35" s="8" t="s">
        <v>137</v>
      </c>
      <c r="I35" s="9" t="s">
        <v>138</v>
      </c>
    </row>
    <row r="36" spans="1:9" ht="24" customHeight="1" x14ac:dyDescent="0.2">
      <c r="A36" s="10">
        <v>32</v>
      </c>
      <c r="B36" s="11" t="s">
        <v>91</v>
      </c>
      <c r="C36" s="12" t="s">
        <v>269</v>
      </c>
      <c r="D36" s="13" t="s">
        <v>274</v>
      </c>
      <c r="E36" s="14" t="s">
        <v>275</v>
      </c>
      <c r="F36" s="14" t="s">
        <v>276</v>
      </c>
      <c r="G36" s="14" t="s">
        <v>277</v>
      </c>
      <c r="H36" s="15" t="s">
        <v>137</v>
      </c>
      <c r="I36" s="16" t="s">
        <v>138</v>
      </c>
    </row>
    <row r="37" spans="1:9" ht="24" customHeight="1" x14ac:dyDescent="0.2">
      <c r="A37" s="3">
        <v>33</v>
      </c>
      <c r="B37" s="4" t="s">
        <v>91</v>
      </c>
      <c r="C37" s="5" t="s">
        <v>269</v>
      </c>
      <c r="D37" s="6" t="s">
        <v>278</v>
      </c>
      <c r="E37" s="7" t="s">
        <v>279</v>
      </c>
      <c r="F37" s="7" t="s">
        <v>280</v>
      </c>
      <c r="G37" s="7" t="s">
        <v>281</v>
      </c>
      <c r="H37" s="8" t="s">
        <v>137</v>
      </c>
      <c r="I37" s="9" t="s">
        <v>138</v>
      </c>
    </row>
    <row r="38" spans="1:9" ht="24" customHeight="1" x14ac:dyDescent="0.2">
      <c r="A38" s="10">
        <v>34</v>
      </c>
      <c r="B38" s="11" t="s">
        <v>91</v>
      </c>
      <c r="C38" s="12" t="s">
        <v>269</v>
      </c>
      <c r="D38" s="13" t="s">
        <v>282</v>
      </c>
      <c r="E38" s="14" t="s">
        <v>283</v>
      </c>
      <c r="F38" s="14" t="s">
        <v>284</v>
      </c>
      <c r="G38" s="14" t="s">
        <v>285</v>
      </c>
      <c r="H38" s="18" t="s">
        <v>152</v>
      </c>
      <c r="I38" s="16" t="s">
        <v>138</v>
      </c>
    </row>
    <row r="39" spans="1:9" ht="24" customHeight="1" x14ac:dyDescent="0.2">
      <c r="A39" s="3">
        <v>35</v>
      </c>
      <c r="B39" s="4" t="s">
        <v>91</v>
      </c>
      <c r="C39" s="5" t="s">
        <v>286</v>
      </c>
      <c r="D39" s="6" t="s">
        <v>287</v>
      </c>
      <c r="E39" s="7" t="s">
        <v>288</v>
      </c>
      <c r="F39" s="7" t="s">
        <v>289</v>
      </c>
      <c r="G39" s="7" t="s">
        <v>290</v>
      </c>
      <c r="H39" s="8" t="s">
        <v>137</v>
      </c>
      <c r="I39" s="9" t="s">
        <v>138</v>
      </c>
    </row>
    <row r="40" spans="1:9" ht="24" customHeight="1" x14ac:dyDescent="0.2">
      <c r="A40" s="10">
        <v>36</v>
      </c>
      <c r="B40" s="11" t="s">
        <v>91</v>
      </c>
      <c r="C40" s="12" t="s">
        <v>286</v>
      </c>
      <c r="D40" s="13" t="s">
        <v>291</v>
      </c>
      <c r="E40" s="14" t="s">
        <v>292</v>
      </c>
      <c r="F40" s="14" t="s">
        <v>293</v>
      </c>
      <c r="G40" s="14" t="s">
        <v>294</v>
      </c>
      <c r="H40" s="15" t="s">
        <v>137</v>
      </c>
      <c r="I40" s="16" t="s">
        <v>138</v>
      </c>
    </row>
    <row r="41" spans="1:9" ht="24" customHeight="1" x14ac:dyDescent="0.2">
      <c r="A41" s="3">
        <v>37</v>
      </c>
      <c r="B41" s="4" t="s">
        <v>91</v>
      </c>
      <c r="C41" s="5" t="s">
        <v>286</v>
      </c>
      <c r="D41" s="6" t="s">
        <v>295</v>
      </c>
      <c r="E41" s="7" t="s">
        <v>296</v>
      </c>
      <c r="F41" s="7" t="s">
        <v>297</v>
      </c>
      <c r="G41" s="7" t="s">
        <v>298</v>
      </c>
      <c r="H41" s="8" t="s">
        <v>137</v>
      </c>
      <c r="I41" s="17" t="s">
        <v>147</v>
      </c>
    </row>
    <row r="42" spans="1:9" ht="24" customHeight="1" x14ac:dyDescent="0.2">
      <c r="A42" s="10">
        <v>38</v>
      </c>
      <c r="B42" s="11" t="s">
        <v>91</v>
      </c>
      <c r="C42" s="12" t="s">
        <v>286</v>
      </c>
      <c r="D42" s="13" t="s">
        <v>299</v>
      </c>
      <c r="E42" s="14" t="s">
        <v>300</v>
      </c>
      <c r="F42" s="14" t="s">
        <v>301</v>
      </c>
      <c r="G42" s="14" t="s">
        <v>302</v>
      </c>
      <c r="H42" s="15" t="s">
        <v>137</v>
      </c>
      <c r="I42" s="21" t="s">
        <v>147</v>
      </c>
    </row>
    <row r="43" spans="1:9" ht="24" customHeight="1" x14ac:dyDescent="0.2">
      <c r="A43" s="3">
        <v>39</v>
      </c>
      <c r="B43" s="4" t="s">
        <v>91</v>
      </c>
      <c r="C43" s="5" t="s">
        <v>303</v>
      </c>
      <c r="D43" s="6" t="s">
        <v>304</v>
      </c>
      <c r="E43" s="7" t="s">
        <v>305</v>
      </c>
      <c r="F43" s="7" t="s">
        <v>306</v>
      </c>
      <c r="G43" s="7" t="s">
        <v>307</v>
      </c>
      <c r="H43" s="19" t="s">
        <v>152</v>
      </c>
      <c r="I43" s="17" t="s">
        <v>147</v>
      </c>
    </row>
    <row r="44" spans="1:9" ht="24" customHeight="1" x14ac:dyDescent="0.2">
      <c r="A44" s="10">
        <v>40</v>
      </c>
      <c r="B44" s="11" t="s">
        <v>91</v>
      </c>
      <c r="C44" s="12" t="s">
        <v>308</v>
      </c>
      <c r="D44" s="13" t="s">
        <v>309</v>
      </c>
      <c r="E44" s="14" t="s">
        <v>310</v>
      </c>
      <c r="F44" s="14" t="s">
        <v>311</v>
      </c>
      <c r="G44" s="14" t="s">
        <v>312</v>
      </c>
      <c r="H44" s="15" t="s">
        <v>137</v>
      </c>
      <c r="I44" s="21" t="s">
        <v>147</v>
      </c>
    </row>
    <row r="45" spans="1:9" ht="24" customHeight="1" x14ac:dyDescent="0.2">
      <c r="A45" s="3">
        <v>41</v>
      </c>
      <c r="B45" s="4" t="s">
        <v>91</v>
      </c>
      <c r="C45" s="5" t="s">
        <v>313</v>
      </c>
      <c r="D45" s="6" t="s">
        <v>314</v>
      </c>
      <c r="E45" s="7" t="s">
        <v>315</v>
      </c>
      <c r="F45" s="7" t="s">
        <v>316</v>
      </c>
      <c r="G45" s="7" t="s">
        <v>317</v>
      </c>
      <c r="H45" s="8" t="s">
        <v>137</v>
      </c>
      <c r="I45" s="9" t="s">
        <v>138</v>
      </c>
    </row>
    <row r="46" spans="1:9" ht="24" customHeight="1" x14ac:dyDescent="0.2">
      <c r="A46" s="10">
        <v>42</v>
      </c>
      <c r="B46" s="11" t="s">
        <v>91</v>
      </c>
      <c r="C46" s="12" t="s">
        <v>318</v>
      </c>
      <c r="D46" s="13" t="s">
        <v>319</v>
      </c>
      <c r="E46" s="14" t="s">
        <v>320</v>
      </c>
      <c r="F46" s="14" t="s">
        <v>321</v>
      </c>
      <c r="G46" s="14" t="s">
        <v>322</v>
      </c>
      <c r="H46" s="15" t="s">
        <v>137</v>
      </c>
      <c r="I46" s="16" t="s">
        <v>138</v>
      </c>
    </row>
    <row r="47" spans="1:9" ht="24" customHeight="1" x14ac:dyDescent="0.2">
      <c r="A47" s="3" t="s">
        <v>323</v>
      </c>
      <c r="B47" s="4" t="s">
        <v>324</v>
      </c>
      <c r="C47" s="5" t="s">
        <v>325</v>
      </c>
      <c r="D47" s="6" t="s">
        <v>326</v>
      </c>
      <c r="E47" s="7" t="s">
        <v>327</v>
      </c>
      <c r="F47" s="7" t="s">
        <v>328</v>
      </c>
      <c r="G47" s="7" t="s">
        <v>329</v>
      </c>
      <c r="H47" s="8" t="s">
        <v>137</v>
      </c>
      <c r="I47" s="9" t="s">
        <v>138</v>
      </c>
    </row>
    <row r="48" spans="1:9" ht="24" customHeight="1" x14ac:dyDescent="0.2">
      <c r="A48" s="10" t="s">
        <v>330</v>
      </c>
      <c r="B48" s="11" t="s">
        <v>324</v>
      </c>
      <c r="C48" s="12" t="s">
        <v>331</v>
      </c>
      <c r="D48" s="13" t="s">
        <v>332</v>
      </c>
      <c r="E48" s="14" t="s">
        <v>333</v>
      </c>
      <c r="F48" s="14" t="s">
        <v>334</v>
      </c>
      <c r="G48" s="14" t="s">
        <v>335</v>
      </c>
      <c r="H48" s="15" t="s">
        <v>137</v>
      </c>
      <c r="I48" s="16" t="s">
        <v>138</v>
      </c>
    </row>
    <row r="49" spans="1:9" ht="24" customHeight="1" x14ac:dyDescent="0.2">
      <c r="A49" s="3" t="s">
        <v>336</v>
      </c>
      <c r="B49" s="4" t="s">
        <v>324</v>
      </c>
      <c r="C49" s="5" t="s">
        <v>337</v>
      </c>
      <c r="D49" s="6" t="s">
        <v>338</v>
      </c>
      <c r="E49" s="7" t="s">
        <v>339</v>
      </c>
      <c r="F49" s="7" t="s">
        <v>340</v>
      </c>
      <c r="G49" s="7" t="s">
        <v>341</v>
      </c>
      <c r="H49" s="8" t="s">
        <v>137</v>
      </c>
      <c r="I49" s="9" t="s">
        <v>138</v>
      </c>
    </row>
    <row r="50" spans="1:9" ht="24" customHeight="1" x14ac:dyDescent="0.2">
      <c r="A50" s="10" t="s">
        <v>342</v>
      </c>
      <c r="B50" s="11" t="s">
        <v>324</v>
      </c>
      <c r="C50" s="12" t="s">
        <v>337</v>
      </c>
      <c r="D50" s="13" t="s">
        <v>343</v>
      </c>
      <c r="E50" s="14" t="s">
        <v>344</v>
      </c>
      <c r="F50" s="14" t="s">
        <v>345</v>
      </c>
      <c r="G50" s="14" t="s">
        <v>346</v>
      </c>
      <c r="H50" s="15" t="s">
        <v>137</v>
      </c>
      <c r="I50" s="16" t="s">
        <v>138</v>
      </c>
    </row>
    <row r="51" spans="1:9" ht="24" customHeight="1" x14ac:dyDescent="0.2">
      <c r="A51" s="3" t="s">
        <v>347</v>
      </c>
      <c r="B51" s="4" t="s">
        <v>324</v>
      </c>
      <c r="C51" s="5" t="s">
        <v>337</v>
      </c>
      <c r="D51" s="6" t="s">
        <v>348</v>
      </c>
      <c r="E51" s="7" t="s">
        <v>349</v>
      </c>
      <c r="F51" s="7" t="s">
        <v>350</v>
      </c>
      <c r="G51" s="7" t="s">
        <v>351</v>
      </c>
      <c r="H51" s="8" t="s">
        <v>137</v>
      </c>
      <c r="I51" s="9" t="s">
        <v>138</v>
      </c>
    </row>
    <row r="52" spans="1:9" ht="24" customHeight="1" x14ac:dyDescent="0.2">
      <c r="A52" s="10" t="s">
        <v>352</v>
      </c>
      <c r="B52" s="11" t="s">
        <v>324</v>
      </c>
      <c r="C52" s="12" t="s">
        <v>337</v>
      </c>
      <c r="D52" s="13" t="s">
        <v>353</v>
      </c>
      <c r="E52" s="14" t="s">
        <v>354</v>
      </c>
      <c r="F52" s="14" t="s">
        <v>355</v>
      </c>
      <c r="G52" s="14" t="s">
        <v>356</v>
      </c>
      <c r="H52" s="15" t="s">
        <v>137</v>
      </c>
      <c r="I52" s="16" t="s">
        <v>138</v>
      </c>
    </row>
    <row r="53" spans="1:9" ht="24" customHeight="1" x14ac:dyDescent="0.2">
      <c r="A53" s="3" t="s">
        <v>357</v>
      </c>
      <c r="B53" s="4" t="s">
        <v>324</v>
      </c>
      <c r="C53" s="5" t="s">
        <v>337</v>
      </c>
      <c r="D53" s="6" t="s">
        <v>358</v>
      </c>
      <c r="E53" s="7" t="s">
        <v>359</v>
      </c>
      <c r="F53" s="7" t="s">
        <v>360</v>
      </c>
      <c r="G53" s="7" t="s">
        <v>361</v>
      </c>
      <c r="H53" s="8" t="s">
        <v>137</v>
      </c>
      <c r="I53" s="9" t="s">
        <v>138</v>
      </c>
    </row>
    <row r="54" spans="1:9" ht="24" customHeight="1" x14ac:dyDescent="0.2">
      <c r="A54" s="10" t="s">
        <v>362</v>
      </c>
      <c r="B54" s="11" t="s">
        <v>324</v>
      </c>
      <c r="C54" s="12" t="s">
        <v>337</v>
      </c>
      <c r="D54" s="13" t="s">
        <v>363</v>
      </c>
      <c r="E54" s="14" t="s">
        <v>364</v>
      </c>
      <c r="F54" s="14" t="s">
        <v>365</v>
      </c>
      <c r="G54" s="14" t="s">
        <v>366</v>
      </c>
      <c r="H54" s="15" t="s">
        <v>137</v>
      </c>
      <c r="I54" s="21" t="s">
        <v>147</v>
      </c>
    </row>
    <row r="55" spans="1:9" ht="24" customHeight="1" x14ac:dyDescent="0.2">
      <c r="A55" s="3" t="s">
        <v>367</v>
      </c>
      <c r="B55" s="4" t="s">
        <v>324</v>
      </c>
      <c r="C55" s="5" t="s">
        <v>337</v>
      </c>
      <c r="D55" s="6" t="s">
        <v>368</v>
      </c>
      <c r="E55" s="7" t="s">
        <v>369</v>
      </c>
      <c r="F55" s="7" t="s">
        <v>370</v>
      </c>
      <c r="G55" s="7" t="s">
        <v>371</v>
      </c>
      <c r="H55" s="8" t="s">
        <v>137</v>
      </c>
      <c r="I55" s="9" t="s">
        <v>138</v>
      </c>
    </row>
    <row r="56" spans="1:9" ht="24" customHeight="1" x14ac:dyDescent="0.2">
      <c r="A56" s="10" t="s">
        <v>372</v>
      </c>
      <c r="B56" s="11" t="s">
        <v>324</v>
      </c>
      <c r="C56" s="12" t="s">
        <v>337</v>
      </c>
      <c r="D56" s="13" t="s">
        <v>373</v>
      </c>
      <c r="E56" s="14" t="s">
        <v>374</v>
      </c>
      <c r="F56" s="14" t="s">
        <v>375</v>
      </c>
      <c r="G56" s="14" t="s">
        <v>376</v>
      </c>
      <c r="H56" s="18" t="s">
        <v>152</v>
      </c>
      <c r="I56" s="16" t="s">
        <v>138</v>
      </c>
    </row>
    <row r="57" spans="1:9" ht="24" customHeight="1" x14ac:dyDescent="0.2">
      <c r="A57" s="3" t="s">
        <v>377</v>
      </c>
      <c r="B57" s="4" t="s">
        <v>324</v>
      </c>
      <c r="C57" s="5" t="s">
        <v>337</v>
      </c>
      <c r="D57" s="6" t="s">
        <v>378</v>
      </c>
      <c r="E57" s="7" t="s">
        <v>379</v>
      </c>
      <c r="F57" s="7" t="s">
        <v>380</v>
      </c>
      <c r="G57" s="7" t="s">
        <v>381</v>
      </c>
      <c r="H57" s="8" t="s">
        <v>137</v>
      </c>
      <c r="I57" s="9" t="s">
        <v>138</v>
      </c>
    </row>
    <row r="58" spans="1:9" ht="24" customHeight="1" x14ac:dyDescent="0.2">
      <c r="A58" s="10" t="s">
        <v>382</v>
      </c>
      <c r="B58" s="11" t="s">
        <v>324</v>
      </c>
      <c r="C58" s="12" t="s">
        <v>337</v>
      </c>
      <c r="D58" s="13" t="s">
        <v>383</v>
      </c>
      <c r="E58" s="14" t="s">
        <v>384</v>
      </c>
      <c r="F58" s="14" t="s">
        <v>385</v>
      </c>
      <c r="G58" s="14" t="s">
        <v>386</v>
      </c>
      <c r="H58" s="15" t="s">
        <v>137</v>
      </c>
      <c r="I58" s="16" t="s">
        <v>138</v>
      </c>
    </row>
    <row r="59" spans="1:9" ht="24" customHeight="1" x14ac:dyDescent="0.2">
      <c r="A59" s="3" t="s">
        <v>387</v>
      </c>
      <c r="B59" s="4" t="s">
        <v>324</v>
      </c>
      <c r="C59" s="5" t="s">
        <v>388</v>
      </c>
      <c r="D59" s="6" t="s">
        <v>389</v>
      </c>
      <c r="E59" s="7" t="s">
        <v>390</v>
      </c>
      <c r="F59" s="7" t="s">
        <v>391</v>
      </c>
      <c r="G59" s="7" t="s">
        <v>392</v>
      </c>
      <c r="H59" s="8" t="s">
        <v>137</v>
      </c>
      <c r="I59" s="9" t="s">
        <v>138</v>
      </c>
    </row>
    <row r="60" spans="1:9" ht="24" customHeight="1" x14ac:dyDescent="0.2">
      <c r="A60" s="10" t="s">
        <v>393</v>
      </c>
      <c r="B60" s="11" t="s">
        <v>324</v>
      </c>
      <c r="C60" s="12" t="s">
        <v>388</v>
      </c>
      <c r="D60" s="13" t="s">
        <v>394</v>
      </c>
      <c r="E60" s="14" t="s">
        <v>395</v>
      </c>
      <c r="F60" s="14" t="s">
        <v>396</v>
      </c>
      <c r="G60" s="14" t="s">
        <v>397</v>
      </c>
      <c r="H60" s="15" t="s">
        <v>137</v>
      </c>
      <c r="I60" s="16" t="s">
        <v>138</v>
      </c>
    </row>
    <row r="61" spans="1:9" ht="24" customHeight="1" x14ac:dyDescent="0.2">
      <c r="A61" s="3" t="s">
        <v>398</v>
      </c>
      <c r="B61" s="4" t="s">
        <v>324</v>
      </c>
      <c r="C61" s="5" t="s">
        <v>388</v>
      </c>
      <c r="D61" s="6" t="s">
        <v>399</v>
      </c>
      <c r="E61" s="7" t="s">
        <v>400</v>
      </c>
      <c r="F61" s="7" t="s">
        <v>401</v>
      </c>
      <c r="G61" s="7" t="s">
        <v>402</v>
      </c>
      <c r="H61" s="8" t="s">
        <v>137</v>
      </c>
      <c r="I61" s="9" t="s">
        <v>138</v>
      </c>
    </row>
    <row r="62" spans="1:9" ht="24" customHeight="1" x14ac:dyDescent="0.2">
      <c r="A62" s="10" t="s">
        <v>403</v>
      </c>
      <c r="B62" s="11" t="s">
        <v>324</v>
      </c>
      <c r="C62" s="12" t="s">
        <v>388</v>
      </c>
      <c r="D62" s="13" t="s">
        <v>404</v>
      </c>
      <c r="E62" s="14" t="s">
        <v>405</v>
      </c>
      <c r="F62" s="14" t="s">
        <v>406</v>
      </c>
      <c r="G62" s="14" t="s">
        <v>407</v>
      </c>
      <c r="H62" s="15" t="s">
        <v>137</v>
      </c>
      <c r="I62" s="16" t="s">
        <v>138</v>
      </c>
    </row>
    <row r="63" spans="1:9" ht="24" customHeight="1" x14ac:dyDescent="0.2">
      <c r="A63" s="3" t="s">
        <v>408</v>
      </c>
      <c r="B63" s="4" t="s">
        <v>324</v>
      </c>
      <c r="C63" s="5" t="s">
        <v>388</v>
      </c>
      <c r="D63" s="6" t="s">
        <v>409</v>
      </c>
      <c r="E63" s="7" t="s">
        <v>410</v>
      </c>
      <c r="F63" s="7" t="s">
        <v>411</v>
      </c>
      <c r="G63" s="7" t="s">
        <v>412</v>
      </c>
      <c r="H63" s="8" t="s">
        <v>137</v>
      </c>
      <c r="I63" s="9" t="s">
        <v>138</v>
      </c>
    </row>
    <row r="64" spans="1:9" ht="24" customHeight="1" x14ac:dyDescent="0.2">
      <c r="A64" s="10" t="s">
        <v>413</v>
      </c>
      <c r="B64" s="11" t="s">
        <v>414</v>
      </c>
      <c r="C64" s="12" t="s">
        <v>415</v>
      </c>
      <c r="D64" s="13" t="s">
        <v>416</v>
      </c>
      <c r="E64" s="14" t="s">
        <v>417</v>
      </c>
      <c r="F64" s="14" t="s">
        <v>418</v>
      </c>
      <c r="G64" s="14" t="s">
        <v>419</v>
      </c>
      <c r="H64" s="15" t="s">
        <v>137</v>
      </c>
      <c r="I64" s="16" t="s">
        <v>138</v>
      </c>
    </row>
    <row r="65" spans="1:9" ht="24" customHeight="1" x14ac:dyDescent="0.2">
      <c r="A65" s="3" t="s">
        <v>420</v>
      </c>
      <c r="B65" s="4" t="s">
        <v>414</v>
      </c>
      <c r="C65" s="5" t="s">
        <v>421</v>
      </c>
      <c r="D65" s="6" t="s">
        <v>422</v>
      </c>
      <c r="E65" s="7" t="s">
        <v>423</v>
      </c>
      <c r="F65" s="7" t="s">
        <v>424</v>
      </c>
      <c r="G65" s="7" t="s">
        <v>425</v>
      </c>
      <c r="H65" s="8" t="s">
        <v>137</v>
      </c>
      <c r="I65" s="17" t="s">
        <v>147</v>
      </c>
    </row>
    <row r="66" spans="1:9" ht="24" customHeight="1" x14ac:dyDescent="0.2">
      <c r="A66" s="10" t="s">
        <v>426</v>
      </c>
      <c r="B66" s="11" t="s">
        <v>414</v>
      </c>
      <c r="C66" s="12" t="s">
        <v>427</v>
      </c>
      <c r="D66" s="13" t="s">
        <v>428</v>
      </c>
      <c r="E66" s="14" t="s">
        <v>429</v>
      </c>
      <c r="F66" s="14" t="s">
        <v>430</v>
      </c>
      <c r="G66" s="14" t="s">
        <v>431</v>
      </c>
      <c r="H66" s="15" t="s">
        <v>137</v>
      </c>
      <c r="I66" s="21" t="s">
        <v>147</v>
      </c>
    </row>
    <row r="67" spans="1:9" ht="24" customHeight="1" x14ac:dyDescent="0.2">
      <c r="A67" s="3" t="s">
        <v>432</v>
      </c>
      <c r="B67" s="4" t="s">
        <v>414</v>
      </c>
      <c r="C67" s="5" t="s">
        <v>433</v>
      </c>
      <c r="D67" s="6" t="s">
        <v>434</v>
      </c>
      <c r="E67" s="7" t="s">
        <v>435</v>
      </c>
      <c r="F67" s="7" t="s">
        <v>436</v>
      </c>
      <c r="G67" s="7" t="s">
        <v>437</v>
      </c>
      <c r="H67" s="8" t="s">
        <v>137</v>
      </c>
      <c r="I67" s="17" t="s">
        <v>147</v>
      </c>
    </row>
    <row r="68" spans="1:9" ht="24" customHeight="1" x14ac:dyDescent="0.2">
      <c r="A68" s="10" t="s">
        <v>438</v>
      </c>
      <c r="B68" s="11" t="s">
        <v>414</v>
      </c>
      <c r="C68" s="12" t="s">
        <v>439</v>
      </c>
      <c r="D68" s="13" t="s">
        <v>440</v>
      </c>
      <c r="E68" s="14" t="s">
        <v>441</v>
      </c>
      <c r="F68" s="14" t="s">
        <v>442</v>
      </c>
      <c r="G68" s="14" t="s">
        <v>443</v>
      </c>
      <c r="H68" s="15" t="s">
        <v>137</v>
      </c>
      <c r="I68" s="16" t="s">
        <v>138</v>
      </c>
    </row>
    <row r="69" spans="1:9" ht="24" customHeight="1" x14ac:dyDescent="0.2">
      <c r="A69" s="3" t="s">
        <v>444</v>
      </c>
      <c r="B69" s="4" t="s">
        <v>414</v>
      </c>
      <c r="C69" s="5" t="s">
        <v>445</v>
      </c>
      <c r="D69" s="6" t="s">
        <v>446</v>
      </c>
      <c r="E69" s="7" t="s">
        <v>447</v>
      </c>
      <c r="F69" s="7" t="s">
        <v>448</v>
      </c>
      <c r="G69" s="7" t="s">
        <v>449</v>
      </c>
      <c r="H69" s="8" t="s">
        <v>137</v>
      </c>
      <c r="I69" s="9" t="s">
        <v>138</v>
      </c>
    </row>
    <row r="70" spans="1:9" ht="24" customHeight="1" x14ac:dyDescent="0.2">
      <c r="A70" s="10" t="s">
        <v>450</v>
      </c>
      <c r="B70" s="11" t="s">
        <v>414</v>
      </c>
      <c r="C70" s="12" t="s">
        <v>451</v>
      </c>
      <c r="D70" s="13" t="s">
        <v>452</v>
      </c>
      <c r="E70" s="14" t="s">
        <v>453</v>
      </c>
      <c r="F70" s="14" t="s">
        <v>454</v>
      </c>
      <c r="G70" s="14" t="s">
        <v>455</v>
      </c>
      <c r="H70" s="15" t="s">
        <v>137</v>
      </c>
      <c r="I70" s="16" t="s">
        <v>138</v>
      </c>
    </row>
    <row r="71" spans="1:9" ht="24" customHeight="1" x14ac:dyDescent="0.2">
      <c r="A71" s="3" t="s">
        <v>456</v>
      </c>
      <c r="B71" s="4" t="s">
        <v>414</v>
      </c>
      <c r="C71" s="5" t="s">
        <v>457</v>
      </c>
      <c r="D71" s="6" t="s">
        <v>458</v>
      </c>
      <c r="E71" s="7" t="s">
        <v>459</v>
      </c>
      <c r="F71" s="7" t="s">
        <v>460</v>
      </c>
      <c r="G71" s="7" t="s">
        <v>461</v>
      </c>
      <c r="H71" s="8" t="s">
        <v>137</v>
      </c>
      <c r="I71" s="9" t="s">
        <v>138</v>
      </c>
    </row>
    <row r="72" spans="1:9" ht="24" customHeight="1" x14ac:dyDescent="0.2">
      <c r="A72" s="10" t="s">
        <v>462</v>
      </c>
      <c r="B72" s="11" t="s">
        <v>414</v>
      </c>
      <c r="C72" s="12" t="s">
        <v>463</v>
      </c>
      <c r="D72" s="13" t="s">
        <v>464</v>
      </c>
      <c r="E72" s="14" t="s">
        <v>465</v>
      </c>
      <c r="F72" s="14" t="s">
        <v>466</v>
      </c>
      <c r="G72" s="14" t="s">
        <v>467</v>
      </c>
      <c r="H72" s="15" t="s">
        <v>137</v>
      </c>
      <c r="I72" s="21" t="s">
        <v>147</v>
      </c>
    </row>
    <row r="73" spans="1:9" ht="24" customHeight="1" x14ac:dyDescent="0.2">
      <c r="A73" s="3" t="s">
        <v>468</v>
      </c>
      <c r="B73" s="4" t="s">
        <v>414</v>
      </c>
      <c r="C73" s="5" t="s">
        <v>469</v>
      </c>
      <c r="D73" s="6" t="s">
        <v>470</v>
      </c>
      <c r="E73" s="7" t="s">
        <v>471</v>
      </c>
      <c r="F73" s="7" t="s">
        <v>472</v>
      </c>
      <c r="G73" s="7" t="s">
        <v>473</v>
      </c>
      <c r="H73" s="8" t="s">
        <v>137</v>
      </c>
      <c r="I73" s="17" t="s">
        <v>147</v>
      </c>
    </row>
    <row r="74" spans="1:9" ht="24" customHeight="1" x14ac:dyDescent="0.2">
      <c r="A74" s="10" t="s">
        <v>474</v>
      </c>
      <c r="B74" s="11" t="s">
        <v>414</v>
      </c>
      <c r="C74" s="12" t="s">
        <v>475</v>
      </c>
      <c r="D74" s="13" t="s">
        <v>476</v>
      </c>
      <c r="E74" s="14" t="s">
        <v>477</v>
      </c>
      <c r="F74" s="14" t="s">
        <v>478</v>
      </c>
      <c r="G74" s="14" t="s">
        <v>479</v>
      </c>
      <c r="H74" s="15" t="s">
        <v>137</v>
      </c>
      <c r="I74" s="16" t="s">
        <v>138</v>
      </c>
    </row>
    <row r="75" spans="1:9" ht="24" customHeight="1" x14ac:dyDescent="0.2">
      <c r="A75" s="3" t="s">
        <v>480</v>
      </c>
      <c r="B75" s="4" t="s">
        <v>481</v>
      </c>
      <c r="C75" s="5" t="s">
        <v>482</v>
      </c>
      <c r="D75" s="6" t="s">
        <v>483</v>
      </c>
      <c r="E75" s="7" t="s">
        <v>484</v>
      </c>
      <c r="F75" s="7" t="s">
        <v>485</v>
      </c>
      <c r="G75" s="7" t="s">
        <v>486</v>
      </c>
      <c r="H75" s="8" t="s">
        <v>137</v>
      </c>
      <c r="I75" s="17" t="s">
        <v>147</v>
      </c>
    </row>
    <row r="76" spans="1:9" ht="24" customHeight="1" x14ac:dyDescent="0.2">
      <c r="A76" s="10" t="s">
        <v>487</v>
      </c>
      <c r="B76" s="11" t="s">
        <v>481</v>
      </c>
      <c r="C76" s="12" t="s">
        <v>488</v>
      </c>
      <c r="D76" s="13" t="s">
        <v>489</v>
      </c>
      <c r="E76" s="14" t="s">
        <v>490</v>
      </c>
      <c r="F76" s="14" t="s">
        <v>491</v>
      </c>
      <c r="G76" s="14" t="s">
        <v>492</v>
      </c>
      <c r="H76" s="15" t="s">
        <v>137</v>
      </c>
      <c r="I76" s="21" t="s">
        <v>147</v>
      </c>
    </row>
    <row r="77" spans="1:9" ht="24" customHeight="1" x14ac:dyDescent="0.2">
      <c r="A77" s="3" t="s">
        <v>493</v>
      </c>
      <c r="B77" s="4" t="s">
        <v>481</v>
      </c>
      <c r="C77" s="5" t="s">
        <v>488</v>
      </c>
      <c r="D77" s="6" t="s">
        <v>494</v>
      </c>
      <c r="E77" s="7" t="s">
        <v>495</v>
      </c>
      <c r="F77" s="7" t="s">
        <v>496</v>
      </c>
      <c r="G77" s="7" t="s">
        <v>497</v>
      </c>
      <c r="H77" s="8" t="s">
        <v>137</v>
      </c>
      <c r="I77" s="17" t="s">
        <v>147</v>
      </c>
    </row>
    <row r="78" spans="1:9" ht="24" customHeight="1" x14ac:dyDescent="0.2">
      <c r="A78" s="10" t="s">
        <v>498</v>
      </c>
      <c r="B78" s="11" t="s">
        <v>481</v>
      </c>
      <c r="C78" s="12" t="s">
        <v>488</v>
      </c>
      <c r="D78" s="13" t="s">
        <v>499</v>
      </c>
      <c r="E78" s="14" t="s">
        <v>500</v>
      </c>
      <c r="F78" s="14" t="s">
        <v>501</v>
      </c>
      <c r="G78" s="14" t="s">
        <v>502</v>
      </c>
      <c r="H78" s="15" t="s">
        <v>137</v>
      </c>
      <c r="I78" s="21" t="s">
        <v>147</v>
      </c>
    </row>
    <row r="79" spans="1:9" ht="24" customHeight="1" x14ac:dyDescent="0.2">
      <c r="A79" s="3" t="s">
        <v>503</v>
      </c>
      <c r="B79" s="4" t="s">
        <v>481</v>
      </c>
      <c r="C79" s="5" t="s">
        <v>504</v>
      </c>
      <c r="D79" s="6" t="s">
        <v>505</v>
      </c>
      <c r="E79" s="7" t="s">
        <v>506</v>
      </c>
      <c r="F79" s="7" t="s">
        <v>507</v>
      </c>
      <c r="G79" s="7" t="s">
        <v>508</v>
      </c>
      <c r="H79" s="8" t="s">
        <v>137</v>
      </c>
      <c r="I79" s="17" t="s">
        <v>147</v>
      </c>
    </row>
    <row r="80" spans="1:9" ht="24" customHeight="1" x14ac:dyDescent="0.2">
      <c r="A80" s="10" t="s">
        <v>509</v>
      </c>
      <c r="B80" s="11" t="s">
        <v>481</v>
      </c>
      <c r="C80" s="12" t="s">
        <v>510</v>
      </c>
      <c r="D80" s="13" t="s">
        <v>511</v>
      </c>
      <c r="E80" s="14" t="s">
        <v>512</v>
      </c>
      <c r="F80" s="14" t="s">
        <v>513</v>
      </c>
      <c r="G80" s="14" t="s">
        <v>514</v>
      </c>
      <c r="H80" s="18" t="s">
        <v>152</v>
      </c>
      <c r="I80" s="20" t="s">
        <v>170</v>
      </c>
    </row>
    <row r="81" spans="1:9" ht="24" customHeight="1" x14ac:dyDescent="0.2">
      <c r="A81" s="3" t="s">
        <v>515</v>
      </c>
      <c r="B81" s="4" t="s">
        <v>481</v>
      </c>
      <c r="C81" s="5" t="s">
        <v>516</v>
      </c>
      <c r="D81" s="6" t="s">
        <v>517</v>
      </c>
      <c r="E81" s="7" t="s">
        <v>518</v>
      </c>
      <c r="F81" s="7" t="s">
        <v>519</v>
      </c>
      <c r="G81" s="7" t="s">
        <v>520</v>
      </c>
      <c r="H81" s="19" t="s">
        <v>152</v>
      </c>
      <c r="I81" s="17" t="s">
        <v>147</v>
      </c>
    </row>
    <row r="82" spans="1:9" ht="24" customHeight="1" x14ac:dyDescent="0.2">
      <c r="A82" s="10" t="s">
        <v>521</v>
      </c>
      <c r="B82" s="11" t="s">
        <v>481</v>
      </c>
      <c r="C82" s="12" t="s">
        <v>522</v>
      </c>
      <c r="D82" s="13" t="s">
        <v>523</v>
      </c>
      <c r="E82" s="14" t="s">
        <v>524</v>
      </c>
      <c r="F82" s="14" t="s">
        <v>525</v>
      </c>
      <c r="G82" s="14" t="s">
        <v>526</v>
      </c>
      <c r="H82" s="18" t="s">
        <v>152</v>
      </c>
      <c r="I82" s="20" t="s">
        <v>170</v>
      </c>
    </row>
    <row r="83" spans="1:9" ht="24" customHeight="1" x14ac:dyDescent="0.2">
      <c r="A83" s="3" t="s">
        <v>527</v>
      </c>
      <c r="B83" s="4" t="s">
        <v>481</v>
      </c>
      <c r="C83" s="5" t="s">
        <v>528</v>
      </c>
      <c r="D83" s="6" t="s">
        <v>529</v>
      </c>
      <c r="E83" s="7" t="s">
        <v>530</v>
      </c>
      <c r="F83" s="7" t="s">
        <v>531</v>
      </c>
      <c r="G83" s="7" t="s">
        <v>532</v>
      </c>
      <c r="H83" s="19" t="s">
        <v>152</v>
      </c>
      <c r="I83" s="22" t="s">
        <v>170</v>
      </c>
    </row>
    <row r="84" spans="1:9" ht="24" customHeight="1" x14ac:dyDescent="0.2">
      <c r="A84" s="10" t="s">
        <v>533</v>
      </c>
      <c r="B84" s="11" t="s">
        <v>481</v>
      </c>
      <c r="C84" s="12" t="s">
        <v>534</v>
      </c>
      <c r="D84" s="13" t="s">
        <v>535</v>
      </c>
      <c r="E84" s="14" t="s">
        <v>536</v>
      </c>
      <c r="F84" s="14" t="s">
        <v>537</v>
      </c>
      <c r="G84" s="14" t="s">
        <v>538</v>
      </c>
      <c r="H84" s="18" t="s">
        <v>152</v>
      </c>
      <c r="I84" s="21" t="s">
        <v>147</v>
      </c>
    </row>
    <row r="85" spans="1:9" ht="24" customHeight="1" x14ac:dyDescent="0.2">
      <c r="A85" s="3" t="s">
        <v>539</v>
      </c>
      <c r="B85" s="4" t="s">
        <v>540</v>
      </c>
      <c r="C85" s="5" t="s">
        <v>541</v>
      </c>
      <c r="D85" s="6" t="s">
        <v>542</v>
      </c>
      <c r="E85" s="7" t="s">
        <v>543</v>
      </c>
      <c r="F85" s="7" t="s">
        <v>544</v>
      </c>
      <c r="G85" s="7" t="s">
        <v>545</v>
      </c>
      <c r="H85" s="8" t="s">
        <v>137</v>
      </c>
      <c r="I85" s="17" t="s">
        <v>147</v>
      </c>
    </row>
    <row r="86" spans="1:9" ht="24" customHeight="1" x14ac:dyDescent="0.2">
      <c r="A86" s="10" t="s">
        <v>546</v>
      </c>
      <c r="B86" s="11" t="s">
        <v>540</v>
      </c>
      <c r="C86" s="12" t="s">
        <v>547</v>
      </c>
      <c r="D86" s="13" t="s">
        <v>548</v>
      </c>
      <c r="E86" s="14" t="s">
        <v>549</v>
      </c>
      <c r="F86" s="14" t="s">
        <v>550</v>
      </c>
      <c r="G86" s="14" t="s">
        <v>551</v>
      </c>
      <c r="H86" s="15" t="s">
        <v>137</v>
      </c>
      <c r="I86" s="21" t="s">
        <v>147</v>
      </c>
    </row>
    <row r="87" spans="1:9" ht="24" customHeight="1" x14ac:dyDescent="0.2">
      <c r="A87" s="3" t="s">
        <v>552</v>
      </c>
      <c r="B87" s="4" t="s">
        <v>540</v>
      </c>
      <c r="C87" s="5" t="s">
        <v>553</v>
      </c>
      <c r="D87" s="6" t="s">
        <v>554</v>
      </c>
      <c r="E87" s="7" t="s">
        <v>555</v>
      </c>
      <c r="F87" s="7" t="s">
        <v>556</v>
      </c>
      <c r="G87" s="7" t="s">
        <v>557</v>
      </c>
      <c r="H87" s="8" t="s">
        <v>137</v>
      </c>
      <c r="I87" s="17" t="s">
        <v>147</v>
      </c>
    </row>
    <row r="88" spans="1:9" ht="24" customHeight="1" x14ac:dyDescent="0.2">
      <c r="A88" s="10" t="s">
        <v>558</v>
      </c>
      <c r="B88" s="11" t="s">
        <v>540</v>
      </c>
      <c r="C88" s="12" t="s">
        <v>559</v>
      </c>
      <c r="D88" s="13" t="s">
        <v>560</v>
      </c>
      <c r="E88" s="14" t="s">
        <v>561</v>
      </c>
      <c r="F88" s="14" t="s">
        <v>562</v>
      </c>
      <c r="G88" s="14" t="s">
        <v>563</v>
      </c>
      <c r="H88" s="15" t="s">
        <v>137</v>
      </c>
      <c r="I88" s="21" t="s">
        <v>147</v>
      </c>
    </row>
    <row r="89" spans="1:9" ht="24" customHeight="1" x14ac:dyDescent="0.2">
      <c r="A89" s="3" t="s">
        <v>564</v>
      </c>
      <c r="B89" s="4" t="s">
        <v>540</v>
      </c>
      <c r="C89" s="5" t="s">
        <v>559</v>
      </c>
      <c r="D89" s="6" t="s">
        <v>565</v>
      </c>
      <c r="E89" s="7" t="s">
        <v>566</v>
      </c>
      <c r="F89" s="7" t="s">
        <v>567</v>
      </c>
      <c r="G89" s="7" t="s">
        <v>568</v>
      </c>
      <c r="H89" s="19" t="s">
        <v>152</v>
      </c>
      <c r="I89" s="17" t="s">
        <v>147</v>
      </c>
    </row>
    <row r="90" spans="1:9" ht="24" customHeight="1" x14ac:dyDescent="0.2">
      <c r="A90" s="10" t="s">
        <v>569</v>
      </c>
      <c r="B90" s="11" t="s">
        <v>540</v>
      </c>
      <c r="C90" s="12" t="s">
        <v>570</v>
      </c>
      <c r="D90" s="13" t="s">
        <v>571</v>
      </c>
      <c r="E90" s="14" t="s">
        <v>572</v>
      </c>
      <c r="F90" s="14" t="s">
        <v>573</v>
      </c>
      <c r="G90" s="14" t="s">
        <v>574</v>
      </c>
      <c r="H90" s="15" t="s">
        <v>137</v>
      </c>
      <c r="I90" s="21" t="s">
        <v>147</v>
      </c>
    </row>
    <row r="91" spans="1:9" ht="24" customHeight="1" x14ac:dyDescent="0.2">
      <c r="A91" s="3" t="s">
        <v>575</v>
      </c>
      <c r="B91" s="4" t="s">
        <v>540</v>
      </c>
      <c r="C91" s="5" t="s">
        <v>576</v>
      </c>
      <c r="D91" s="6" t="s">
        <v>577</v>
      </c>
      <c r="E91" s="7" t="s">
        <v>578</v>
      </c>
      <c r="F91" s="7" t="s">
        <v>579</v>
      </c>
      <c r="G91" s="7" t="s">
        <v>580</v>
      </c>
      <c r="H91" s="19" t="s">
        <v>152</v>
      </c>
      <c r="I91" s="17" t="s">
        <v>147</v>
      </c>
    </row>
    <row r="92" spans="1:9" ht="24" customHeight="1" x14ac:dyDescent="0.2">
      <c r="A92" s="10" t="s">
        <v>581</v>
      </c>
      <c r="B92" s="11" t="s">
        <v>582</v>
      </c>
      <c r="C92" s="12" t="s">
        <v>583</v>
      </c>
      <c r="D92" s="13" t="s">
        <v>584</v>
      </c>
      <c r="E92" s="14" t="s">
        <v>585</v>
      </c>
      <c r="F92" s="14" t="s">
        <v>586</v>
      </c>
      <c r="G92" s="14" t="s">
        <v>587</v>
      </c>
      <c r="H92" s="15" t="s">
        <v>137</v>
      </c>
      <c r="I92" s="16" t="s">
        <v>138</v>
      </c>
    </row>
    <row r="93" spans="1:9" ht="24" customHeight="1" x14ac:dyDescent="0.2">
      <c r="A93" s="3" t="s">
        <v>588</v>
      </c>
      <c r="B93" s="4" t="s">
        <v>582</v>
      </c>
      <c r="C93" s="5" t="s">
        <v>583</v>
      </c>
      <c r="D93" s="6" t="s">
        <v>589</v>
      </c>
      <c r="E93" s="7" t="s">
        <v>590</v>
      </c>
      <c r="F93" s="7" t="s">
        <v>591</v>
      </c>
      <c r="G93" s="7" t="s">
        <v>587</v>
      </c>
      <c r="H93" s="8" t="s">
        <v>137</v>
      </c>
      <c r="I93" s="9" t="s">
        <v>138</v>
      </c>
    </row>
    <row r="94" spans="1:9" ht="24" customHeight="1" x14ac:dyDescent="0.2">
      <c r="A94" s="10" t="s">
        <v>592</v>
      </c>
      <c r="B94" s="11" t="s">
        <v>582</v>
      </c>
      <c r="C94" s="12" t="s">
        <v>583</v>
      </c>
      <c r="D94" s="13" t="s">
        <v>593</v>
      </c>
      <c r="E94" s="14" t="s">
        <v>594</v>
      </c>
      <c r="F94" s="14" t="s">
        <v>595</v>
      </c>
      <c r="G94" s="14" t="s">
        <v>587</v>
      </c>
      <c r="H94" s="15" t="s">
        <v>137</v>
      </c>
      <c r="I94" s="16" t="s">
        <v>138</v>
      </c>
    </row>
    <row r="95" spans="1:9" ht="24" customHeight="1" x14ac:dyDescent="0.2">
      <c r="A95" s="3" t="s">
        <v>596</v>
      </c>
      <c r="B95" s="4" t="s">
        <v>582</v>
      </c>
      <c r="C95" s="5" t="s">
        <v>583</v>
      </c>
      <c r="D95" s="6" t="s">
        <v>597</v>
      </c>
      <c r="E95" s="7" t="s">
        <v>598</v>
      </c>
      <c r="F95" s="7" t="s">
        <v>599</v>
      </c>
      <c r="G95" s="7" t="s">
        <v>587</v>
      </c>
      <c r="H95" s="8" t="s">
        <v>137</v>
      </c>
      <c r="I95" s="9" t="s">
        <v>138</v>
      </c>
    </row>
    <row r="96" spans="1:9" ht="24" customHeight="1" x14ac:dyDescent="0.2">
      <c r="A96" s="10" t="s">
        <v>600</v>
      </c>
      <c r="B96" s="11" t="s">
        <v>582</v>
      </c>
      <c r="C96" s="12" t="s">
        <v>583</v>
      </c>
      <c r="D96" s="13" t="s">
        <v>601</v>
      </c>
      <c r="E96" s="14" t="s">
        <v>602</v>
      </c>
      <c r="F96" s="14" t="s">
        <v>603</v>
      </c>
      <c r="G96" s="14" t="s">
        <v>587</v>
      </c>
      <c r="H96" s="15" t="s">
        <v>137</v>
      </c>
      <c r="I96" s="16" t="s">
        <v>138</v>
      </c>
    </row>
    <row r="97" spans="1:9" ht="24" customHeight="1" x14ac:dyDescent="0.2">
      <c r="A97" s="3" t="s">
        <v>604</v>
      </c>
      <c r="B97" s="4" t="s">
        <v>582</v>
      </c>
      <c r="C97" s="5" t="s">
        <v>605</v>
      </c>
      <c r="D97" s="6" t="s">
        <v>606</v>
      </c>
      <c r="E97" s="7" t="s">
        <v>607</v>
      </c>
      <c r="F97" s="7" t="s">
        <v>608</v>
      </c>
      <c r="G97" s="7" t="s">
        <v>609</v>
      </c>
      <c r="H97" s="8" t="s">
        <v>137</v>
      </c>
      <c r="I97" s="9" t="s">
        <v>138</v>
      </c>
    </row>
    <row r="98" spans="1:9" ht="24" customHeight="1" x14ac:dyDescent="0.2">
      <c r="A98" s="10" t="s">
        <v>610</v>
      </c>
      <c r="B98" s="11" t="s">
        <v>582</v>
      </c>
      <c r="C98" s="12" t="s">
        <v>605</v>
      </c>
      <c r="D98" s="13" t="s">
        <v>611</v>
      </c>
      <c r="E98" s="14" t="s">
        <v>612</v>
      </c>
      <c r="F98" s="14" t="s">
        <v>613</v>
      </c>
      <c r="G98" s="14" t="s">
        <v>614</v>
      </c>
      <c r="H98" s="15" t="s">
        <v>137</v>
      </c>
      <c r="I98" s="16" t="s">
        <v>138</v>
      </c>
    </row>
    <row r="99" spans="1:9" ht="24" customHeight="1" x14ac:dyDescent="0.2">
      <c r="A99" s="3" t="s">
        <v>615</v>
      </c>
      <c r="B99" s="4" t="s">
        <v>582</v>
      </c>
      <c r="C99" s="5" t="s">
        <v>605</v>
      </c>
      <c r="D99" s="6" t="s">
        <v>616</v>
      </c>
      <c r="E99" s="7" t="s">
        <v>617</v>
      </c>
      <c r="F99" s="7" t="s">
        <v>618</v>
      </c>
      <c r="G99" s="7" t="s">
        <v>619</v>
      </c>
      <c r="H99" s="8" t="s">
        <v>137</v>
      </c>
      <c r="I99" s="17" t="s">
        <v>147</v>
      </c>
    </row>
    <row r="100" spans="1:9" ht="24" customHeight="1" x14ac:dyDescent="0.2">
      <c r="A100" s="10" t="s">
        <v>620</v>
      </c>
      <c r="B100" s="11" t="s">
        <v>582</v>
      </c>
      <c r="C100" s="12" t="s">
        <v>605</v>
      </c>
      <c r="D100" s="13" t="s">
        <v>621</v>
      </c>
      <c r="E100" s="14" t="s">
        <v>622</v>
      </c>
      <c r="F100" s="14" t="s">
        <v>623</v>
      </c>
      <c r="G100" s="14" t="s">
        <v>624</v>
      </c>
      <c r="H100" s="18" t="s">
        <v>152</v>
      </c>
      <c r="I100" s="21" t="s">
        <v>147</v>
      </c>
    </row>
    <row r="101" spans="1:9" ht="24" customHeight="1" x14ac:dyDescent="0.2">
      <c r="A101" s="3" t="s">
        <v>625</v>
      </c>
      <c r="B101" s="4" t="s">
        <v>582</v>
      </c>
      <c r="C101" s="5" t="s">
        <v>605</v>
      </c>
      <c r="D101" s="6" t="s">
        <v>626</v>
      </c>
      <c r="E101" s="7" t="s">
        <v>627</v>
      </c>
      <c r="F101" s="7" t="s">
        <v>628</v>
      </c>
      <c r="G101" s="7" t="s">
        <v>629</v>
      </c>
      <c r="H101" s="8" t="s">
        <v>137</v>
      </c>
      <c r="I101" s="9" t="s">
        <v>138</v>
      </c>
    </row>
    <row r="102" spans="1:9" ht="24" customHeight="1" x14ac:dyDescent="0.2">
      <c r="A102" s="10" t="s">
        <v>630</v>
      </c>
      <c r="B102" s="11" t="s">
        <v>582</v>
      </c>
      <c r="C102" s="12" t="s">
        <v>631</v>
      </c>
      <c r="D102" s="13" t="s">
        <v>632</v>
      </c>
      <c r="E102" s="14" t="s">
        <v>633</v>
      </c>
      <c r="F102" s="14" t="s">
        <v>634</v>
      </c>
      <c r="G102" s="14" t="s">
        <v>635</v>
      </c>
      <c r="H102" s="15" t="s">
        <v>137</v>
      </c>
      <c r="I102" s="16" t="s">
        <v>138</v>
      </c>
    </row>
    <row r="103" spans="1:9" ht="24" customHeight="1" x14ac:dyDescent="0.2">
      <c r="A103" s="3" t="s">
        <v>636</v>
      </c>
      <c r="B103" s="4" t="s">
        <v>637</v>
      </c>
      <c r="C103" s="5" t="s">
        <v>638</v>
      </c>
      <c r="D103" s="6" t="s">
        <v>639</v>
      </c>
      <c r="E103" s="7" t="s">
        <v>640</v>
      </c>
      <c r="F103" s="7" t="s">
        <v>641</v>
      </c>
      <c r="G103" s="7" t="s">
        <v>642</v>
      </c>
      <c r="H103" s="8" t="s">
        <v>137</v>
      </c>
      <c r="I103" s="17" t="s">
        <v>147</v>
      </c>
    </row>
    <row r="104" spans="1:9" ht="24" customHeight="1" x14ac:dyDescent="0.2">
      <c r="A104" s="10" t="s">
        <v>643</v>
      </c>
      <c r="B104" s="11" t="s">
        <v>637</v>
      </c>
      <c r="C104" s="12" t="s">
        <v>638</v>
      </c>
      <c r="D104" s="13" t="s">
        <v>644</v>
      </c>
      <c r="E104" s="14" t="s">
        <v>645</v>
      </c>
      <c r="F104" s="14" t="s">
        <v>646</v>
      </c>
      <c r="G104" s="14" t="s">
        <v>647</v>
      </c>
      <c r="H104" s="15" t="s">
        <v>137</v>
      </c>
      <c r="I104" s="21" t="s">
        <v>147</v>
      </c>
    </row>
    <row r="105" spans="1:9" ht="24" customHeight="1" x14ac:dyDescent="0.2">
      <c r="A105" s="3" t="s">
        <v>648</v>
      </c>
      <c r="B105" s="4" t="s">
        <v>637</v>
      </c>
      <c r="C105" s="5" t="s">
        <v>638</v>
      </c>
      <c r="D105" s="6" t="s">
        <v>649</v>
      </c>
      <c r="E105" s="7" t="s">
        <v>650</v>
      </c>
      <c r="F105" s="7" t="s">
        <v>651</v>
      </c>
      <c r="G105" s="7" t="s">
        <v>652</v>
      </c>
      <c r="H105" s="19" t="s">
        <v>152</v>
      </c>
      <c r="I105" s="17" t="s">
        <v>147</v>
      </c>
    </row>
    <row r="106" spans="1:9" ht="24" customHeight="1" x14ac:dyDescent="0.2">
      <c r="A106" s="10" t="s">
        <v>653</v>
      </c>
      <c r="B106" s="11" t="s">
        <v>637</v>
      </c>
      <c r="C106" s="12" t="s">
        <v>654</v>
      </c>
      <c r="D106" s="13" t="s">
        <v>655</v>
      </c>
      <c r="E106" s="14" t="s">
        <v>656</v>
      </c>
      <c r="F106" s="14" t="s">
        <v>657</v>
      </c>
      <c r="G106" s="14" t="s">
        <v>658</v>
      </c>
      <c r="H106" s="15" t="s">
        <v>137</v>
      </c>
      <c r="I106" s="21" t="s">
        <v>147</v>
      </c>
    </row>
    <row r="107" spans="1:9" ht="24" customHeight="1" x14ac:dyDescent="0.2">
      <c r="A107" s="3" t="s">
        <v>659</v>
      </c>
      <c r="B107" s="4" t="s">
        <v>637</v>
      </c>
      <c r="C107" s="5" t="s">
        <v>654</v>
      </c>
      <c r="D107" s="6" t="s">
        <v>660</v>
      </c>
      <c r="E107" s="7" t="s">
        <v>661</v>
      </c>
      <c r="F107" s="7" t="s">
        <v>662</v>
      </c>
      <c r="G107" s="7" t="s">
        <v>663</v>
      </c>
      <c r="H107" s="8" t="s">
        <v>137</v>
      </c>
      <c r="I107" s="17" t="s">
        <v>147</v>
      </c>
    </row>
    <row r="108" spans="1:9" ht="24" customHeight="1" x14ac:dyDescent="0.2">
      <c r="A108" s="10" t="s">
        <v>664</v>
      </c>
      <c r="B108" s="11" t="s">
        <v>637</v>
      </c>
      <c r="C108" s="12" t="s">
        <v>654</v>
      </c>
      <c r="D108" s="13" t="s">
        <v>665</v>
      </c>
      <c r="E108" s="14" t="s">
        <v>666</v>
      </c>
      <c r="F108" s="14" t="s">
        <v>667</v>
      </c>
      <c r="G108" s="14" t="s">
        <v>668</v>
      </c>
      <c r="H108" s="18" t="s">
        <v>152</v>
      </c>
      <c r="I108" s="21" t="s">
        <v>147</v>
      </c>
    </row>
    <row r="109" spans="1:9" ht="24" customHeight="1" x14ac:dyDescent="0.2">
      <c r="A109" s="3" t="s">
        <v>669</v>
      </c>
      <c r="B109" s="4" t="s">
        <v>637</v>
      </c>
      <c r="C109" s="5" t="s">
        <v>654</v>
      </c>
      <c r="D109" s="6" t="s">
        <v>670</v>
      </c>
      <c r="E109" s="7" t="s">
        <v>671</v>
      </c>
      <c r="F109" s="7" t="s">
        <v>672</v>
      </c>
      <c r="G109" s="7" t="s">
        <v>673</v>
      </c>
      <c r="H109" s="8" t="s">
        <v>137</v>
      </c>
      <c r="I109" s="17" t="s">
        <v>147</v>
      </c>
    </row>
    <row r="110" spans="1:9" ht="24" customHeight="1" x14ac:dyDescent="0.2">
      <c r="A110" s="10" t="s">
        <v>674</v>
      </c>
      <c r="B110" s="11" t="s">
        <v>637</v>
      </c>
      <c r="C110" s="12" t="s">
        <v>675</v>
      </c>
      <c r="D110" s="13" t="s">
        <v>676</v>
      </c>
      <c r="E110" s="14" t="s">
        <v>677</v>
      </c>
      <c r="F110" s="14" t="s">
        <v>678</v>
      </c>
      <c r="G110" s="14" t="s">
        <v>679</v>
      </c>
      <c r="H110" s="15" t="s">
        <v>137</v>
      </c>
      <c r="I110" s="21" t="s">
        <v>147</v>
      </c>
    </row>
    <row r="111" spans="1:9" ht="24" customHeight="1" x14ac:dyDescent="0.2">
      <c r="A111" s="3" t="s">
        <v>680</v>
      </c>
      <c r="B111" s="4" t="s">
        <v>681</v>
      </c>
      <c r="C111" s="5" t="s">
        <v>682</v>
      </c>
      <c r="D111" s="6" t="s">
        <v>683</v>
      </c>
      <c r="E111" s="7" t="s">
        <v>684</v>
      </c>
      <c r="F111" s="7" t="s">
        <v>685</v>
      </c>
      <c r="G111" s="7" t="s">
        <v>686</v>
      </c>
      <c r="H111" s="8" t="s">
        <v>137</v>
      </c>
      <c r="I111" s="17" t="s">
        <v>147</v>
      </c>
    </row>
    <row r="112" spans="1:9" ht="24" customHeight="1" x14ac:dyDescent="0.2">
      <c r="A112" s="10" t="s">
        <v>687</v>
      </c>
      <c r="B112" s="11" t="s">
        <v>681</v>
      </c>
      <c r="C112" s="12" t="s">
        <v>682</v>
      </c>
      <c r="D112" s="13" t="s">
        <v>688</v>
      </c>
      <c r="E112" s="14" t="s">
        <v>689</v>
      </c>
      <c r="F112" s="14" t="s">
        <v>690</v>
      </c>
      <c r="G112" s="14" t="s">
        <v>691</v>
      </c>
      <c r="H112" s="15" t="s">
        <v>137</v>
      </c>
      <c r="I112" s="21" t="s">
        <v>147</v>
      </c>
    </row>
    <row r="113" spans="1:9" ht="24" customHeight="1" x14ac:dyDescent="0.2">
      <c r="A113" s="3" t="s">
        <v>692</v>
      </c>
      <c r="B113" s="4" t="s">
        <v>681</v>
      </c>
      <c r="C113" s="5" t="s">
        <v>693</v>
      </c>
      <c r="D113" s="6" t="s">
        <v>694</v>
      </c>
      <c r="E113" s="7" t="s">
        <v>695</v>
      </c>
      <c r="F113" s="7" t="s">
        <v>696</v>
      </c>
      <c r="G113" s="7" t="s">
        <v>697</v>
      </c>
      <c r="H113" s="8" t="s">
        <v>137</v>
      </c>
      <c r="I113" s="17" t="s">
        <v>147</v>
      </c>
    </row>
    <row r="114" spans="1:9" ht="24" customHeight="1" x14ac:dyDescent="0.2">
      <c r="A114" s="10" t="s">
        <v>698</v>
      </c>
      <c r="B114" s="11" t="s">
        <v>681</v>
      </c>
      <c r="C114" s="12" t="s">
        <v>699</v>
      </c>
      <c r="D114" s="13" t="s">
        <v>700</v>
      </c>
      <c r="E114" s="14" t="s">
        <v>701</v>
      </c>
      <c r="F114" s="14" t="s">
        <v>702</v>
      </c>
      <c r="G114" s="14" t="s">
        <v>703</v>
      </c>
      <c r="H114" s="15" t="s">
        <v>137</v>
      </c>
      <c r="I114" s="21" t="s">
        <v>147</v>
      </c>
    </row>
    <row r="115" spans="1:9" ht="24" customHeight="1" x14ac:dyDescent="0.2">
      <c r="A115" s="3" t="s">
        <v>704</v>
      </c>
      <c r="B115" s="4" t="s">
        <v>681</v>
      </c>
      <c r="C115" s="5" t="s">
        <v>705</v>
      </c>
      <c r="D115" s="6" t="s">
        <v>706</v>
      </c>
      <c r="E115" s="7" t="s">
        <v>707</v>
      </c>
      <c r="F115" s="7" t="s">
        <v>708</v>
      </c>
      <c r="G115" s="7" t="s">
        <v>709</v>
      </c>
      <c r="H115" s="19" t="s">
        <v>152</v>
      </c>
      <c r="I115" s="22" t="s">
        <v>170</v>
      </c>
    </row>
    <row r="116" spans="1:9" ht="24" customHeight="1" x14ac:dyDescent="0.2">
      <c r="A116" s="10" t="s">
        <v>710</v>
      </c>
      <c r="B116" s="11" t="s">
        <v>711</v>
      </c>
      <c r="C116" s="12" t="s">
        <v>712</v>
      </c>
      <c r="D116" s="13" t="s">
        <v>713</v>
      </c>
      <c r="E116" s="14" t="s">
        <v>714</v>
      </c>
      <c r="F116" s="14" t="s">
        <v>715</v>
      </c>
      <c r="G116" s="14" t="s">
        <v>716</v>
      </c>
      <c r="H116" s="15" t="s">
        <v>137</v>
      </c>
      <c r="I116" s="21" t="s">
        <v>147</v>
      </c>
    </row>
    <row r="117" spans="1:9" ht="24" customHeight="1" x14ac:dyDescent="0.2">
      <c r="A117" s="3" t="s">
        <v>717</v>
      </c>
      <c r="B117" s="4" t="s">
        <v>711</v>
      </c>
      <c r="C117" s="5" t="s">
        <v>712</v>
      </c>
      <c r="D117" s="6" t="s">
        <v>718</v>
      </c>
      <c r="E117" s="7" t="s">
        <v>719</v>
      </c>
      <c r="F117" s="7" t="s">
        <v>720</v>
      </c>
      <c r="G117" s="7" t="s">
        <v>721</v>
      </c>
      <c r="H117" s="8" t="s">
        <v>137</v>
      </c>
      <c r="I117" s="17" t="s">
        <v>147</v>
      </c>
    </row>
    <row r="118" spans="1:9" ht="24" customHeight="1" x14ac:dyDescent="0.2">
      <c r="A118" s="10" t="s">
        <v>722</v>
      </c>
      <c r="B118" s="11" t="s">
        <v>711</v>
      </c>
      <c r="C118" s="12" t="s">
        <v>712</v>
      </c>
      <c r="D118" s="13" t="s">
        <v>723</v>
      </c>
      <c r="E118" s="14" t="s">
        <v>724</v>
      </c>
      <c r="F118" s="14" t="s">
        <v>725</v>
      </c>
      <c r="G118" s="14" t="s">
        <v>726</v>
      </c>
      <c r="H118" s="15" t="s">
        <v>137</v>
      </c>
      <c r="I118" s="21" t="s">
        <v>147</v>
      </c>
    </row>
    <row r="119" spans="1:9" ht="24" customHeight="1" x14ac:dyDescent="0.2">
      <c r="A119" s="3" t="s">
        <v>727</v>
      </c>
      <c r="B119" s="4" t="s">
        <v>711</v>
      </c>
      <c r="C119" s="5" t="s">
        <v>728</v>
      </c>
      <c r="D119" s="6" t="s">
        <v>729</v>
      </c>
      <c r="E119" s="7" t="s">
        <v>730</v>
      </c>
      <c r="F119" s="7" t="s">
        <v>731</v>
      </c>
      <c r="G119" s="7" t="s">
        <v>732</v>
      </c>
      <c r="H119" s="8" t="s">
        <v>137</v>
      </c>
      <c r="I119" s="17" t="s">
        <v>147</v>
      </c>
    </row>
  </sheetData>
  <autoFilter ref="A4:I119" xr:uid="{00000000-0009-0000-0000-000001000000}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32" customWidth="1"/>
    <col min="2" max="4" width="16" customWidth="1"/>
    <col min="5" max="5" width="18" customWidth="1"/>
    <col min="6" max="7" width="16" customWidth="1"/>
  </cols>
  <sheetData>
    <row r="1" spans="1:7" ht="23" customHeight="1" x14ac:dyDescent="0.2">
      <c r="A1" s="59" t="s">
        <v>733</v>
      </c>
      <c r="B1" s="60"/>
      <c r="C1" s="60"/>
      <c r="D1" s="60"/>
      <c r="E1" s="60"/>
      <c r="F1" s="60"/>
      <c r="G1" s="60"/>
    </row>
    <row r="2" spans="1:7" x14ac:dyDescent="0.2">
      <c r="A2" s="61" t="s">
        <v>734</v>
      </c>
      <c r="B2" s="60"/>
      <c r="C2" s="60"/>
      <c r="D2" s="60"/>
      <c r="E2" s="60"/>
      <c r="F2" s="60"/>
      <c r="G2" s="60"/>
    </row>
    <row r="4" spans="1:7" ht="26" customHeight="1" x14ac:dyDescent="0.2">
      <c r="A4" s="23" t="s">
        <v>735</v>
      </c>
      <c r="B4" s="24" t="s">
        <v>736</v>
      </c>
      <c r="C4" s="24" t="s">
        <v>737</v>
      </c>
      <c r="D4" s="24" t="s">
        <v>738</v>
      </c>
      <c r="E4" s="24" t="s">
        <v>739</v>
      </c>
      <c r="F4" s="24" t="s">
        <v>138</v>
      </c>
      <c r="G4" s="24" t="s">
        <v>740</v>
      </c>
    </row>
    <row r="5" spans="1:7" ht="22" customHeight="1" x14ac:dyDescent="0.2">
      <c r="A5" s="25" t="s">
        <v>52</v>
      </c>
      <c r="B5" s="26">
        <f>COUNTIF(Features!$B$5:$B$119, A5)</f>
        <v>18</v>
      </c>
      <c r="C5" s="26">
        <f>COUNTIFS(Features!$B$5:$B$119, $A5, Features!$H$5:$H$119, "P1")</f>
        <v>12</v>
      </c>
      <c r="D5" s="26">
        <f>COUNTIFS(Features!$B$5:$B$119, $A5, Features!$H$5:$H$119, "P2")</f>
        <v>6</v>
      </c>
      <c r="E5" s="26">
        <f>COUNTIFS(Features!$B$5:$B$119, $A5, Features!$H$5:$H$119, "P3")</f>
        <v>0</v>
      </c>
      <c r="F5" s="26">
        <f>COUNTIFS(Features!$B$5:$B$119, $A5, Features!$I$5:$I$119, "Completed")</f>
        <v>13</v>
      </c>
      <c r="G5" s="27">
        <f t="shared" ref="G5:G15" si="0">IF(B5=0, 0, F5/B5)</f>
        <v>0.72222222222222221</v>
      </c>
    </row>
    <row r="6" spans="1:7" ht="22" customHeight="1" x14ac:dyDescent="0.2">
      <c r="A6" s="28" t="s">
        <v>215</v>
      </c>
      <c r="B6" s="29">
        <f>COUNTIF(Features!$B$5:$B$119, A6)</f>
        <v>12</v>
      </c>
      <c r="C6" s="29">
        <f>COUNTIFS(Features!$B$5:$B$119, $A6, Features!$H$5:$H$119, "P1")</f>
        <v>10</v>
      </c>
      <c r="D6" s="29">
        <f>COUNTIFS(Features!$B$5:$B$119, $A6, Features!$H$5:$H$119, "P2")</f>
        <v>2</v>
      </c>
      <c r="E6" s="29">
        <f>COUNTIFS(Features!$B$5:$B$119, $A6, Features!$H$5:$H$119, "P3")</f>
        <v>0</v>
      </c>
      <c r="F6" s="29">
        <f>COUNTIFS(Features!$B$5:$B$119, $A6, Features!$I$5:$I$119, "Completed")</f>
        <v>11</v>
      </c>
      <c r="G6" s="30">
        <f t="shared" si="0"/>
        <v>0.91666666666666663</v>
      </c>
    </row>
    <row r="7" spans="1:7" ht="22" customHeight="1" x14ac:dyDescent="0.2">
      <c r="A7" s="25" t="s">
        <v>91</v>
      </c>
      <c r="B7" s="26">
        <f>COUNTIF(Features!$B$5:$B$119, A7)</f>
        <v>12</v>
      </c>
      <c r="C7" s="26">
        <f>COUNTIFS(Features!$B$5:$B$119, $A7, Features!$H$5:$H$119, "P1")</f>
        <v>10</v>
      </c>
      <c r="D7" s="26">
        <f>COUNTIFS(Features!$B$5:$B$119, $A7, Features!$H$5:$H$119, "P2")</f>
        <v>2</v>
      </c>
      <c r="E7" s="26">
        <f>COUNTIFS(Features!$B$5:$B$119, $A7, Features!$H$5:$H$119, "P3")</f>
        <v>0</v>
      </c>
      <c r="F7" s="26">
        <f>COUNTIFS(Features!$B$5:$B$119, $A7, Features!$I$5:$I$119, "Completed")</f>
        <v>8</v>
      </c>
      <c r="G7" s="27">
        <f t="shared" si="0"/>
        <v>0.66666666666666663</v>
      </c>
    </row>
    <row r="8" spans="1:7" ht="22" customHeight="1" x14ac:dyDescent="0.2">
      <c r="A8" s="28" t="s">
        <v>324</v>
      </c>
      <c r="B8" s="29">
        <f>COUNTIF(Features!$B$5:$B$119, A8)</f>
        <v>17</v>
      </c>
      <c r="C8" s="29">
        <f>COUNTIFS(Features!$B$5:$B$119, $A8, Features!$H$5:$H$119, "P1")</f>
        <v>16</v>
      </c>
      <c r="D8" s="29">
        <f>COUNTIFS(Features!$B$5:$B$119, $A8, Features!$H$5:$H$119, "P2")</f>
        <v>1</v>
      </c>
      <c r="E8" s="29">
        <f>COUNTIFS(Features!$B$5:$B$119, $A8, Features!$H$5:$H$119, "P3")</f>
        <v>0</v>
      </c>
      <c r="F8" s="29">
        <f>COUNTIFS(Features!$B$5:$B$119, $A8, Features!$I$5:$I$119, "Completed")</f>
        <v>16</v>
      </c>
      <c r="G8" s="30">
        <f t="shared" si="0"/>
        <v>0.94117647058823528</v>
      </c>
    </row>
    <row r="9" spans="1:7" ht="22" customHeight="1" x14ac:dyDescent="0.2">
      <c r="A9" s="25" t="s">
        <v>414</v>
      </c>
      <c r="B9" s="26">
        <f>COUNTIF(Features!$B$5:$B$119, A9)</f>
        <v>11</v>
      </c>
      <c r="C9" s="26">
        <f>COUNTIFS(Features!$B$5:$B$119, $A9, Features!$H$5:$H$119, "P1")</f>
        <v>11</v>
      </c>
      <c r="D9" s="26">
        <f>COUNTIFS(Features!$B$5:$B$119, $A9, Features!$H$5:$H$119, "P2")</f>
        <v>0</v>
      </c>
      <c r="E9" s="26">
        <f>COUNTIFS(Features!$B$5:$B$119, $A9, Features!$H$5:$H$119, "P3")</f>
        <v>0</v>
      </c>
      <c r="F9" s="26">
        <f>COUNTIFS(Features!$B$5:$B$119, $A9, Features!$I$5:$I$119, "Completed")</f>
        <v>6</v>
      </c>
      <c r="G9" s="27">
        <f t="shared" si="0"/>
        <v>0.54545454545454541</v>
      </c>
    </row>
    <row r="10" spans="1:7" ht="22" customHeight="1" x14ac:dyDescent="0.2">
      <c r="A10" s="28" t="s">
        <v>481</v>
      </c>
      <c r="B10" s="29">
        <f>COUNTIF(Features!$B$5:$B$119, A10)</f>
        <v>10</v>
      </c>
      <c r="C10" s="29">
        <f>COUNTIFS(Features!$B$5:$B$119, $A10, Features!$H$5:$H$119, "P1")</f>
        <v>5</v>
      </c>
      <c r="D10" s="29">
        <f>COUNTIFS(Features!$B$5:$B$119, $A10, Features!$H$5:$H$119, "P2")</f>
        <v>5</v>
      </c>
      <c r="E10" s="29">
        <f>COUNTIFS(Features!$B$5:$B$119, $A10, Features!$H$5:$H$119, "P3")</f>
        <v>0</v>
      </c>
      <c r="F10" s="29">
        <f>COUNTIFS(Features!$B$5:$B$119, $A10, Features!$I$5:$I$119, "Completed")</f>
        <v>0</v>
      </c>
      <c r="G10" s="30">
        <f t="shared" si="0"/>
        <v>0</v>
      </c>
    </row>
    <row r="11" spans="1:7" ht="22" customHeight="1" x14ac:dyDescent="0.2">
      <c r="A11" s="25" t="s">
        <v>540</v>
      </c>
      <c r="B11" s="26">
        <f>COUNTIF(Features!$B$5:$B$119, A11)</f>
        <v>7</v>
      </c>
      <c r="C11" s="26">
        <f>COUNTIFS(Features!$B$5:$B$119, $A11, Features!$H$5:$H$119, "P1")</f>
        <v>5</v>
      </c>
      <c r="D11" s="26">
        <f>COUNTIFS(Features!$B$5:$B$119, $A11, Features!$H$5:$H$119, "P2")</f>
        <v>2</v>
      </c>
      <c r="E11" s="26">
        <f>COUNTIFS(Features!$B$5:$B$119, $A11, Features!$H$5:$H$119, "P3")</f>
        <v>0</v>
      </c>
      <c r="F11" s="26">
        <f>COUNTIFS(Features!$B$5:$B$119, $A11, Features!$I$5:$I$119, "Completed")</f>
        <v>0</v>
      </c>
      <c r="G11" s="27">
        <f t="shared" si="0"/>
        <v>0</v>
      </c>
    </row>
    <row r="12" spans="1:7" ht="22" customHeight="1" x14ac:dyDescent="0.2">
      <c r="A12" s="28" t="s">
        <v>582</v>
      </c>
      <c r="B12" s="29">
        <f>COUNTIF(Features!$B$5:$B$119, A12)</f>
        <v>11</v>
      </c>
      <c r="C12" s="29">
        <f>COUNTIFS(Features!$B$5:$B$119, $A12, Features!$H$5:$H$119, "P1")</f>
        <v>10</v>
      </c>
      <c r="D12" s="29">
        <f>COUNTIFS(Features!$B$5:$B$119, $A12, Features!$H$5:$H$119, "P2")</f>
        <v>1</v>
      </c>
      <c r="E12" s="29">
        <f>COUNTIFS(Features!$B$5:$B$119, $A12, Features!$H$5:$H$119, "P3")</f>
        <v>0</v>
      </c>
      <c r="F12" s="29">
        <f>COUNTIFS(Features!$B$5:$B$119, $A12, Features!$I$5:$I$119, "Completed")</f>
        <v>9</v>
      </c>
      <c r="G12" s="30">
        <f t="shared" si="0"/>
        <v>0.81818181818181823</v>
      </c>
    </row>
    <row r="13" spans="1:7" ht="22" customHeight="1" x14ac:dyDescent="0.2">
      <c r="A13" s="25" t="s">
        <v>637</v>
      </c>
      <c r="B13" s="26">
        <f>COUNTIF(Features!$B$5:$B$119, A13)</f>
        <v>8</v>
      </c>
      <c r="C13" s="26">
        <f>COUNTIFS(Features!$B$5:$B$119, $A13, Features!$H$5:$H$119, "P1")</f>
        <v>6</v>
      </c>
      <c r="D13" s="26">
        <f>COUNTIFS(Features!$B$5:$B$119, $A13, Features!$H$5:$H$119, "P2")</f>
        <v>2</v>
      </c>
      <c r="E13" s="26">
        <f>COUNTIFS(Features!$B$5:$B$119, $A13, Features!$H$5:$H$119, "P3")</f>
        <v>0</v>
      </c>
      <c r="F13" s="26">
        <f>COUNTIFS(Features!$B$5:$B$119, $A13, Features!$I$5:$I$119, "Completed")</f>
        <v>0</v>
      </c>
      <c r="G13" s="27">
        <f t="shared" si="0"/>
        <v>0</v>
      </c>
    </row>
    <row r="14" spans="1:7" ht="22" customHeight="1" x14ac:dyDescent="0.2">
      <c r="A14" s="28" t="s">
        <v>681</v>
      </c>
      <c r="B14" s="29">
        <f>COUNTIF(Features!$B$5:$B$119, A14)</f>
        <v>5</v>
      </c>
      <c r="C14" s="29">
        <f>COUNTIFS(Features!$B$5:$B$119, $A14, Features!$H$5:$H$119, "P1")</f>
        <v>4</v>
      </c>
      <c r="D14" s="29">
        <f>COUNTIFS(Features!$B$5:$B$119, $A14, Features!$H$5:$H$119, "P2")</f>
        <v>1</v>
      </c>
      <c r="E14" s="29">
        <f>COUNTIFS(Features!$B$5:$B$119, $A14, Features!$H$5:$H$119, "P3")</f>
        <v>0</v>
      </c>
      <c r="F14" s="29">
        <f>COUNTIFS(Features!$B$5:$B$119, $A14, Features!$I$5:$I$119, "Completed")</f>
        <v>0</v>
      </c>
      <c r="G14" s="30">
        <f t="shared" si="0"/>
        <v>0</v>
      </c>
    </row>
    <row r="15" spans="1:7" ht="22" customHeight="1" x14ac:dyDescent="0.2">
      <c r="A15" s="25" t="s">
        <v>711</v>
      </c>
      <c r="B15" s="26">
        <f>COUNTIF(Features!$B$5:$B$119, A15)</f>
        <v>4</v>
      </c>
      <c r="C15" s="26">
        <f>COUNTIFS(Features!$B$5:$B$119, $A15, Features!$H$5:$H$119, "P1")</f>
        <v>4</v>
      </c>
      <c r="D15" s="26">
        <f>COUNTIFS(Features!$B$5:$B$119, $A15, Features!$H$5:$H$119, "P2")</f>
        <v>0</v>
      </c>
      <c r="E15" s="26">
        <f>COUNTIFS(Features!$B$5:$B$119, $A15, Features!$H$5:$H$119, "P3")</f>
        <v>0</v>
      </c>
      <c r="F15" s="26">
        <f>COUNTIFS(Features!$B$5:$B$119, $A15, Features!$I$5:$I$119, "Completed")</f>
        <v>0</v>
      </c>
      <c r="G15" s="27">
        <f t="shared" si="0"/>
        <v>0</v>
      </c>
    </row>
    <row r="16" spans="1:7" ht="24" customHeight="1" x14ac:dyDescent="0.2">
      <c r="A16" s="31" t="s">
        <v>741</v>
      </c>
      <c r="B16" s="32">
        <f>SUM(B5:B15)</f>
        <v>115</v>
      </c>
      <c r="C16" s="33">
        <f>SUM(C5:C15)</f>
        <v>93</v>
      </c>
      <c r="D16" s="34">
        <f>SUM(D5:D15)</f>
        <v>22</v>
      </c>
      <c r="E16" s="35">
        <f>SUM(E5:E15)</f>
        <v>0</v>
      </c>
      <c r="F16" s="36">
        <f>SUM(F5:F15)</f>
        <v>63</v>
      </c>
      <c r="G16" s="37">
        <f>IF(B16=0,0,F16/B16)</f>
        <v>0.54782608695652169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pane ySplit="4" topLeftCell="A5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45" customWidth="1"/>
    <col min="4" max="4" width="55" customWidth="1"/>
  </cols>
  <sheetData>
    <row r="1" spans="1:4" ht="23" customHeight="1" x14ac:dyDescent="0.2">
      <c r="A1" s="59" t="s">
        <v>0</v>
      </c>
      <c r="B1" s="60"/>
      <c r="C1" s="60"/>
      <c r="D1" s="60"/>
    </row>
    <row r="2" spans="1:4" x14ac:dyDescent="0.2">
      <c r="A2" s="61" t="s">
        <v>1</v>
      </c>
      <c r="B2" s="60"/>
      <c r="C2" s="60"/>
      <c r="D2" s="60"/>
    </row>
    <row r="4" spans="1:4" ht="26" customHeight="1" x14ac:dyDescent="0.2">
      <c r="A4" s="24" t="s">
        <v>2</v>
      </c>
      <c r="B4" s="23" t="s">
        <v>3</v>
      </c>
      <c r="C4" s="23" t="s">
        <v>4</v>
      </c>
      <c r="D4" s="23" t="s">
        <v>5</v>
      </c>
    </row>
    <row r="5" spans="1:4" ht="24" customHeight="1" x14ac:dyDescent="0.2">
      <c r="A5" s="38" t="s">
        <v>6</v>
      </c>
      <c r="B5" s="7" t="s">
        <v>7</v>
      </c>
      <c r="C5" s="7" t="s">
        <v>8</v>
      </c>
      <c r="D5" s="7" t="s">
        <v>9</v>
      </c>
    </row>
    <row r="6" spans="1:4" ht="24" customHeight="1" x14ac:dyDescent="0.2">
      <c r="A6" s="39" t="s">
        <v>10</v>
      </c>
      <c r="B6" s="14" t="s">
        <v>11</v>
      </c>
      <c r="C6" s="14" t="s">
        <v>12</v>
      </c>
      <c r="D6" s="14" t="s">
        <v>13</v>
      </c>
    </row>
    <row r="7" spans="1:4" ht="24" customHeight="1" x14ac:dyDescent="0.2">
      <c r="A7" s="38" t="s">
        <v>14</v>
      </c>
      <c r="B7" s="7" t="s">
        <v>15</v>
      </c>
      <c r="C7" s="7" t="s">
        <v>16</v>
      </c>
      <c r="D7" s="7" t="s">
        <v>17</v>
      </c>
    </row>
    <row r="8" spans="1:4" ht="24" customHeight="1" x14ac:dyDescent="0.2">
      <c r="A8" s="39" t="s">
        <v>18</v>
      </c>
      <c r="B8" s="14" t="s">
        <v>19</v>
      </c>
      <c r="C8" s="14" t="s">
        <v>20</v>
      </c>
      <c r="D8" s="14" t="s">
        <v>21</v>
      </c>
    </row>
    <row r="9" spans="1:4" ht="24" customHeight="1" x14ac:dyDescent="0.2">
      <c r="A9" s="38" t="s">
        <v>22</v>
      </c>
      <c r="B9" s="7" t="s">
        <v>23</v>
      </c>
      <c r="C9" s="7" t="s">
        <v>24</v>
      </c>
      <c r="D9" s="7" t="s">
        <v>25</v>
      </c>
    </row>
    <row r="10" spans="1:4" ht="24" customHeight="1" x14ac:dyDescent="0.2">
      <c r="A10" s="39" t="s">
        <v>26</v>
      </c>
      <c r="B10" s="14" t="s">
        <v>27</v>
      </c>
      <c r="C10" s="14" t="s">
        <v>28</v>
      </c>
      <c r="D10" s="14" t="s">
        <v>29</v>
      </c>
    </row>
    <row r="11" spans="1:4" ht="24" customHeight="1" x14ac:dyDescent="0.2">
      <c r="A11" s="38" t="s">
        <v>30</v>
      </c>
      <c r="B11" s="7" t="s">
        <v>31</v>
      </c>
      <c r="C11" s="7" t="s">
        <v>32</v>
      </c>
      <c r="D11" s="7" t="s">
        <v>33</v>
      </c>
    </row>
    <row r="12" spans="1:4" ht="24" customHeight="1" x14ac:dyDescent="0.2">
      <c r="A12" s="39" t="s">
        <v>34</v>
      </c>
      <c r="B12" s="14" t="s">
        <v>35</v>
      </c>
      <c r="C12" s="14" t="s">
        <v>36</v>
      </c>
      <c r="D12" s="14" t="s">
        <v>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Plan (2)</vt:lpstr>
      <vt:lpstr>Features</vt:lpstr>
      <vt:lpstr>Summary</vt:lpstr>
      <vt:lpstr>Employee Central 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Sharma</cp:lastModifiedBy>
  <dcterms:created xsi:type="dcterms:W3CDTF">2026-09-29T11:17:58Z</dcterms:created>
  <dcterms:modified xsi:type="dcterms:W3CDTF">2026-10-01T19:48:04Z</dcterms:modified>
</cp:coreProperties>
</file>